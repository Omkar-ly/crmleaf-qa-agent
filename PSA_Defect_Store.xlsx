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ickets" sheetId="1" state="visible" r:id="rId1"/>
    <sheet name="Runs" sheetId="2" state="visible" r:id="rId2"/>
    <sheet name="Suppression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F497D"/>
        <bgColor rgb="001F497D"/>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
  <sheetViews>
    <sheetView workbookViewId="0">
      <selection activeCell="A1" sqref="A1"/>
    </sheetView>
  </sheetViews>
  <sheetFormatPr baseColWidth="8" defaultRowHeight="15"/>
  <sheetData>
    <row r="1">
      <c r="A1" s="1" t="inlineStr">
        <is>
          <t>Ticket_ID</t>
        </is>
      </c>
      <c r="B1" s="1" t="inlineStr">
        <is>
          <t>Fingerprint</t>
        </is>
      </c>
      <c r="C1" s="1" t="inlineStr">
        <is>
          <t>Run_ID</t>
        </is>
      </c>
      <c r="D1" s="1" t="inlineStr">
        <is>
          <t>Module</t>
        </is>
      </c>
      <c r="E1" s="1" t="inlineStr">
        <is>
          <t>Screen</t>
        </is>
      </c>
      <c r="F1" s="1" t="inlineStr">
        <is>
          <t>Severity</t>
        </is>
      </c>
      <c r="G1" s="1" t="inlineStr">
        <is>
          <t>Failure_Type</t>
        </is>
      </c>
      <c r="H1" s="1" t="inlineStr">
        <is>
          <t>Title</t>
        </is>
      </c>
      <c r="I1" s="1" t="inlineStr">
        <is>
          <t>Repro_Steps</t>
        </is>
      </c>
      <c r="J1" s="1" t="inlineStr">
        <is>
          <t>Expected</t>
        </is>
      </c>
      <c r="K1" s="1" t="inlineStr">
        <is>
          <t>Actual</t>
        </is>
      </c>
      <c r="L1" s="1" t="inlineStr">
        <is>
          <t>Screenshot</t>
        </is>
      </c>
      <c r="M1" s="1" t="inlineStr">
        <is>
          <t>Video</t>
        </is>
      </c>
      <c r="N1" s="1" t="inlineStr">
        <is>
          <t>First_Seen</t>
        </is>
      </c>
      <c r="O1" s="1" t="inlineStr">
        <is>
          <t>Last_Seen</t>
        </is>
      </c>
      <c r="P1" s="1" t="inlineStr">
        <is>
          <t>Occurrences</t>
        </is>
      </c>
      <c r="Q1" s="1" t="inlineStr">
        <is>
          <t>Status</t>
        </is>
      </c>
    </row>
    <row r="2">
      <c r="A2" t="inlineStr">
        <is>
          <t>TICK-0001</t>
        </is>
      </c>
      <c r="B2" t="inlineStr">
        <is>
          <t>7f59ea5eba1ab950838e86b1c8106b99</t>
        </is>
      </c>
      <c r="C2" t="inlineStr">
        <is>
          <t>RUN_20260928_160953</t>
        </is>
      </c>
      <c r="D2" t="inlineStr">
        <is>
          <t>PSA</t>
        </is>
      </c>
      <c r="E2" t="inlineStr">
        <is>
          <t>Proposal Creation &amp; Acceptance</t>
        </is>
      </c>
      <c r="F2" t="inlineStr">
        <is>
          <t>Critical</t>
        </is>
      </c>
      <c r="G2" t="inlineStr">
        <is>
          <t>AssertionOrDOMError</t>
        </is>
      </c>
      <c r="H2" t="inlineStr">
        <is>
          <t>Autonomous Check Failure in Proposal Creation &amp; Acceptance</t>
        </is>
      </c>
      <c r="I2" t="inlineStr">
        <is>
          <t>Automated execution broke during Proposal Creation &amp; Acceptance pipeline stage.</t>
        </is>
      </c>
      <c r="J2" t="inlineStr">
        <is>
          <t>Module Proposal Creation &amp; Acceptance completes successfully without exceptions.</t>
        </is>
      </c>
      <c r="K2" t="inlineStr">
        <is>
          <t xml:space="preserve">Locator.click: Error: strict mode violation: get_by_role("row", name="Sub Total") resolved to 2 elements:
    1) &lt;tr&gt;…&lt;/tr&gt; aka get_by_role("row", name="Sub Total 0.00 Discount 0 % 0")
    2) &lt;tr&gt;…&lt;/tr&gt; aka get_by_role("row", name="Sub Total 0.00", exact=True)
Call log:
  - waiting for get_by_role("row", name="Sub Total")
</t>
        </is>
      </c>
      <c r="L2">
        <f>HYPERLINK("evidence\RUN_20260928_160953\Proposal_Creation_&amp;_Acceptance\Proposal_Creation_&amp;_Acceptance_failure.png", "Screenshot")</f>
        <v/>
      </c>
      <c r="M2">
        <f>HYPERLINK("C:\Users\LENOVO\Desktop\crmleaf-qa-agent\evidence\RUN_20260928_160953\recordings\page@88bf29071c7d6706361cb890b98e83ea.webm", "Video")</f>
        <v/>
      </c>
      <c r="N2" t="inlineStr">
        <is>
          <t>2026-09-28 16:10:45</t>
        </is>
      </c>
      <c r="O2" t="inlineStr">
        <is>
          <t>2026-09-28 16:10:45</t>
        </is>
      </c>
      <c r="P2" t="n">
        <v>1</v>
      </c>
      <c r="Q2" t="inlineStr">
        <is>
          <t>Open</t>
        </is>
      </c>
    </row>
    <row r="3">
      <c r="A3" t="inlineStr">
        <is>
          <t>TICK-0002</t>
        </is>
      </c>
      <c r="B3" t="inlineStr">
        <is>
          <t>ea2a20cd9f371e516c43a37878ff3f63</t>
        </is>
      </c>
      <c r="C3" t="inlineStr">
        <is>
          <t>RUN_20260928_161251</t>
        </is>
      </c>
      <c r="D3" t="inlineStr">
        <is>
          <t>PSA</t>
        </is>
      </c>
      <c r="E3" t="inlineStr">
        <is>
          <t>Lead Creation</t>
        </is>
      </c>
      <c r="F3" t="inlineStr">
        <is>
          <t>Critical</t>
        </is>
      </c>
      <c r="G3" t="inlineStr">
        <is>
          <t>AssertionOrDOMError</t>
        </is>
      </c>
      <c r="H3" t="inlineStr">
        <is>
          <t>Autonomous Check Failure in Lead Creation</t>
        </is>
      </c>
      <c r="I3" t="inlineStr">
        <is>
          <t>Automated execution broke during Lead Creation pipeline stage.</t>
        </is>
      </c>
      <c r="J3" t="inlineStr">
        <is>
          <t>Module Lead Creation completes successfully without exceptions.</t>
        </is>
      </c>
      <c r="K3" t="inlineStr">
        <is>
          <t xml:space="preserve">Locator expected to contain text 'ASO_1251'
Actual value: 
            Lead Contacts
                                    Home •
                                                                                                        Lead Contacts
                 Ask AI 
                                            BI-MO
                        BDM Industries...
                            BI-MO
                            BDM Industries - Main Organization
                                                            Default
                            NO
                            NEW ORG
                        Manage Organizations                    
                                    0
                                        Start Timer                                    
                                    Add Project                                
                                    Add Task                                
                                    Add Timelog                                
                                    Add Client                                
                                    Add Employee                                
                                    Add Payment                                
                                    Create Ticket                                
                                                    288
                                New notifications
                                    Mark as Read |
                                    Show All
                                Show All
                                    saumya ranjan
                                    saumyaranjanmohapatra944@gmail.com
                                Account
                                    Send Feedback
                                    Billing
                                    Support Tickets
                                    Help
                                Notifications
                                    Dark Theme
                                Log out
                                    Workspace
                                                    BDM inc
                                                    BDM Industries
                Send Feedback
                    ×
    Ctrl K
        Service Management
            Home
            Sales &amp; CRM
            Lead Contacts
            Deals
            Proposal
            Clients
            Quotes
            Contracts
            Projects
            Projects
            Milestones
            Tasks
            Project Roadmap
            Resource &amp; Time
            Timesheet
            Resource Availability
            Finance
            Invoices
            Payments
            Expenses
            Client Support
            Tickets
            Knowledge Base
            Dashboard
            Advanced Dashboard
            CRM
            Dashboard
            Companies
            Meetings
            Deal Tasks
                    More
            Settings
                                        Sales &amp; CRM
            Lead Contacts
            Deals
            Proposal
            Clients
            Quotes
            Contracts
                                        Projects
            Projects
            Milestones
            Tasks
            Project Roadmap
                                        Resource &amp; Time
            Timesheet
            Resource Availability
                                        Finance
            Invoices
            Payments
            Expenses
                                        Client Support
            Tickets
            Knowledge Base
                                        Dashboard
            Advanced Dashboard
                All modules
                                        CRM
            Dashboard
            Companies
            Deal Tasks
            Meetings
                                        Sales
            Sales Order
            Dashboard
            Dispatches
            My Dispatches
            Credit Note
            Bank Account
                                        HRMS
            Dashboard
            Employees
            Leaves
            Shift Roster
            Attendance
            Holiday
            Designation
            Department
            Appreciation
            Payroll
            Employee Salary
            Payroll Expenses
            Overtime Request
                                 </t>
        </is>
      </c>
      <c r="L3">
        <f>HYPERLINK("evidence\RUN_20260928_161251\Lead_Creation\Lead_Creation_failure.png", "Screenshot")</f>
        <v/>
      </c>
      <c r="M3">
        <f>HYPERLINK("C:\Users\LENOVO\Desktop\crmleaf-qa-agent\evidence\RUN_20260928_161251\recordings\page@5e513739554326b0b06cc04837ee618e.webm", "Video")</f>
        <v/>
      </c>
      <c r="N3" t="inlineStr">
        <is>
          <t>2026-09-28 16:13:31</t>
        </is>
      </c>
      <c r="O3" t="inlineStr">
        <is>
          <t>2026-09-28 16:13:31</t>
        </is>
      </c>
      <c r="P3" t="n">
        <v>1</v>
      </c>
      <c r="Q3" t="inlineStr">
        <is>
          <t>Open</t>
        </is>
      </c>
    </row>
    <row r="4">
      <c r="A4" t="inlineStr">
        <is>
          <t>TICK-0003</t>
        </is>
      </c>
      <c r="B4" t="inlineStr">
        <is>
          <t>d223bc4cca272785ce0ec9114a80a4e2</t>
        </is>
      </c>
      <c r="C4" t="inlineStr">
        <is>
          <t>RUN_20260928_161652</t>
        </is>
      </c>
      <c r="D4" t="inlineStr">
        <is>
          <t>PSA</t>
        </is>
      </c>
      <c r="E4" t="inlineStr">
        <is>
          <t>Client Conversion &amp; Contract</t>
        </is>
      </c>
      <c r="F4" t="inlineStr">
        <is>
          <t>Critical</t>
        </is>
      </c>
      <c r="G4" t="inlineStr">
        <is>
          <t>AssertionOrDOMError</t>
        </is>
      </c>
      <c r="H4" t="inlineStr">
        <is>
          <t>Autonomous Check Failure in Client Conversion &amp; Contract</t>
        </is>
      </c>
      <c r="I4" t="inlineStr">
        <is>
          <t>Automated execution broke during Client Conversion &amp; Contract pipeline stage.</t>
        </is>
      </c>
      <c r="J4" t="inlineStr">
        <is>
          <t>Module Client Conversion &amp; Contract completes successfully without exceptions.</t>
        </is>
      </c>
      <c r="K4" t="inlineStr">
        <is>
          <t xml:space="preserve">Locator.click: Timeout 30000ms exceeded.
Call log:
  - waiting for get_by_role("link", name="Change To Client")
</t>
        </is>
      </c>
      <c r="L4">
        <f>HYPERLINK("evidence\RUN_20260928_161652\Client_Conversion_&amp;_Contract\Client_Conversion_&amp;_Contract_failure.png", "Screenshot")</f>
        <v/>
      </c>
      <c r="M4">
        <f>HYPERLINK("C:\Users\LENOVO\Desktop\crmleaf-qa-agent\evidence\RUN_20260928_161652\recordings\page@f89aec9d1a94f1eccd30e4b804716ceb.webm", "Video")</f>
        <v/>
      </c>
      <c r="N4" t="inlineStr">
        <is>
          <t>2026-09-28 16:19:03</t>
        </is>
      </c>
      <c r="O4" t="inlineStr">
        <is>
          <t>2026-09-28 16:19:03</t>
        </is>
      </c>
      <c r="P4" t="n">
        <v>1</v>
      </c>
      <c r="Q4"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Run_ID</t>
        </is>
      </c>
      <c r="B1" s="1" t="inlineStr">
        <is>
          <t>Timestamp</t>
        </is>
      </c>
      <c r="C1" s="1" t="inlineStr">
        <is>
          <t>Total_Screens</t>
        </is>
      </c>
      <c r="D1" s="1" t="inlineStr">
        <is>
          <t>Passed</t>
        </is>
      </c>
      <c r="E1" s="1" t="inlineStr">
        <is>
          <t>Failed</t>
        </is>
      </c>
      <c r="F1" s="1" t="inlineStr">
        <is>
          <t>Blocked</t>
        </is>
      </c>
      <c r="G1" s="1" t="inlineStr">
        <is>
          <t>Status</t>
        </is>
      </c>
    </row>
    <row r="2">
      <c r="A2" t="inlineStr">
        <is>
          <t>RUN_20260928_160953</t>
        </is>
      </c>
      <c r="B2" t="inlineStr">
        <is>
          <t>2026-09-28 16:10:48</t>
        </is>
      </c>
      <c r="C2" t="n">
        <v>11</v>
      </c>
      <c r="D2" t="n">
        <v>1</v>
      </c>
      <c r="E2" t="n">
        <v>1</v>
      </c>
      <c r="F2" t="n">
        <v>9</v>
      </c>
      <c r="G2" t="inlineStr">
        <is>
          <t>FAILED</t>
        </is>
      </c>
    </row>
    <row r="3">
      <c r="A3" t="inlineStr">
        <is>
          <t>RUN_20260928_161251</t>
        </is>
      </c>
      <c r="B3" t="inlineStr">
        <is>
          <t>2026-09-28 16:13:35</t>
        </is>
      </c>
      <c r="C3" t="n">
        <v>11</v>
      </c>
      <c r="D3" t="n">
        <v>0</v>
      </c>
      <c r="E3" t="n">
        <v>1</v>
      </c>
      <c r="F3" t="n">
        <v>10</v>
      </c>
      <c r="G3" t="inlineStr">
        <is>
          <t>FAILED</t>
        </is>
      </c>
    </row>
    <row r="4">
      <c r="A4" t="inlineStr">
        <is>
          <t>RUN_20260928_161652</t>
        </is>
      </c>
      <c r="B4" t="inlineStr">
        <is>
          <t>2026-09-28 16:19:08</t>
        </is>
      </c>
      <c r="C4" t="n">
        <v>11</v>
      </c>
      <c r="D4" t="n">
        <v>2</v>
      </c>
      <c r="E4" t="n">
        <v>1</v>
      </c>
      <c r="F4" t="n">
        <v>8</v>
      </c>
      <c r="G4" t="inlineStr">
        <is>
          <t>FAILED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Fingerprint</t>
        </is>
      </c>
      <c r="B1" s="1" t="inlineStr">
        <is>
          <t>Reason</t>
        </is>
      </c>
      <c r="C1" s="1" t="inlineStr">
        <is>
          <t>Added_On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2026-09-28T10:31:20Z</dcterms:created>
  <dcterms:modified xsi:type="dcterms:W3CDTF">2026-09-28T10:49:08Z</dcterms:modified>
</cp:coreProperties>
</file>