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Runs" sheetId="2" state="visible" r:id="rId2"/>
    <sheet name="Suppr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ID</t>
        </is>
      </c>
      <c r="B1" s="1" t="inlineStr">
        <is>
          <t>Fingerprint</t>
        </is>
      </c>
      <c r="C1" s="1" t="inlineStr">
        <is>
          <t>Run ID</t>
        </is>
      </c>
      <c r="D1" s="1" t="inlineStr">
        <is>
          <t>Module</t>
        </is>
      </c>
      <c r="E1" s="1" t="inlineStr">
        <is>
          <t>Screen</t>
        </is>
      </c>
      <c r="F1" s="1" t="inlineStr">
        <is>
          <t>Severity</t>
        </is>
      </c>
      <c r="G1" s="1" t="inlineStr">
        <is>
          <t>Failure Type</t>
        </is>
      </c>
      <c r="H1" s="1" t="inlineStr">
        <is>
          <t>Title</t>
        </is>
      </c>
      <c r="I1" s="1" t="inlineStr">
        <is>
          <t>Repro Steps</t>
        </is>
      </c>
      <c r="J1" s="1" t="inlineStr">
        <is>
          <t>Expected</t>
        </is>
      </c>
      <c r="K1" s="1" t="inlineStr">
        <is>
          <t>Actual</t>
        </is>
      </c>
      <c r="L1" s="1" t="inlineStr">
        <is>
          <t>Screenshot</t>
        </is>
      </c>
      <c r="M1" s="1" t="inlineStr">
        <is>
          <t>Video</t>
        </is>
      </c>
      <c r="N1" s="1" t="inlineStr">
        <is>
          <t>Diagnostics Log</t>
        </is>
      </c>
      <c r="O1" s="1" t="inlineStr">
        <is>
          <t>First Seen</t>
        </is>
      </c>
      <c r="P1" s="1" t="inlineStr">
        <is>
          <t>Last Seen</t>
        </is>
      </c>
      <c r="Q1" s="1" t="inlineStr">
        <is>
          <t>Occurrences</t>
        </is>
      </c>
      <c r="R1" s="1" t="inlineStr">
        <is>
          <t>Status</t>
        </is>
      </c>
    </row>
    <row r="2">
      <c r="A2" t="inlineStr">
        <is>
          <t>PSA-0001</t>
        </is>
      </c>
      <c r="B2" t="inlineStr">
        <is>
          <t>3d871fc126aaa7d307ea9e65a438f2f5</t>
        </is>
      </c>
      <c r="C2" t="inlineStr">
        <is>
          <t>RUN_20260928_165525</t>
        </is>
      </c>
      <c r="D2" t="inlineStr">
        <is>
          <t>PSA</t>
        </is>
      </c>
      <c r="E2" t="inlineStr">
        <is>
          <t>Lead Creation</t>
        </is>
      </c>
      <c r="F2" t="inlineStr">
        <is>
          <t>Medium</t>
        </is>
      </c>
      <c r="G2" t="inlineStr">
        <is>
          <t>ScriptError</t>
        </is>
      </c>
      <c r="H2" t="inlineStr">
        <is>
          <t>ScriptError in Lead Creation</t>
        </is>
      </c>
      <c r="I2" t="inlineStr">
        <is>
          <t>1. Authenticate to CRMLeaf.
2. Execute Lead Creation workflow sequence.</t>
        </is>
      </c>
      <c r="J2" t="inlineStr">
        <is>
          <t>Module Lead Creation passes all UI invariants without blocking.</t>
        </is>
      </c>
      <c r="K2" t="inlineStr">
        <is>
          <t>Locator.click: Error: strict mode violation: locator(".dropdown-menu.show").get_by_role("option", name="Mr") resolved to 2 elements:</t>
        </is>
      </c>
      <c r="L2">
        <f>HYPERLINK("evidence\RUN_20260928_165525\Lead_Creation\Lead_Creation_fail.png", "Screenshot")</f>
        <v/>
      </c>
      <c r="M2">
        <f>HYPERLINK("evidence\RUN_20260928_165525\Lead_Creation\video\page@aee763d19b09bf893175e5566c31f66c.webm", "Video")</f>
        <v/>
      </c>
      <c r="N2">
        <f>HYPERLINK("evidence\RUN_20260928_165525\Lead_Creation\diagnostics.json", "Logs")</f>
        <v/>
      </c>
      <c r="O2" t="inlineStr">
        <is>
          <t>2026-09-28 16:56:15</t>
        </is>
      </c>
      <c r="P2" t="inlineStr">
        <is>
          <t>2026-09-28 16:56:15</t>
        </is>
      </c>
      <c r="Q2" t="n">
        <v>1</v>
      </c>
      <c r="R2" t="inlineStr">
        <is>
          <t>Draft</t>
        </is>
      </c>
    </row>
    <row r="3">
      <c r="A3" t="inlineStr">
        <is>
          <t>PSA-0002</t>
        </is>
      </c>
      <c r="B3" t="inlineStr">
        <is>
          <t>4ac808b34ddbc52a7f7ab41bec691afe</t>
        </is>
      </c>
      <c r="C3" t="inlineStr">
        <is>
          <t>RUN_20260928_184844</t>
        </is>
      </c>
      <c r="D3" t="inlineStr">
        <is>
          <t>PSA</t>
        </is>
      </c>
      <c r="E3" t="inlineStr">
        <is>
          <t>Proposal Creation</t>
        </is>
      </c>
      <c r="F3" t="inlineStr">
        <is>
          <t>Medium</t>
        </is>
      </c>
      <c r="G3" t="inlineStr">
        <is>
          <t>ScriptError</t>
        </is>
      </c>
      <c r="H3" t="inlineStr">
        <is>
          <t>ScriptError in Proposal Creation</t>
        </is>
      </c>
      <c r="I3" t="inlineStr">
        <is>
          <t>1. Authenticate to CRMLeaf.
2. Execute Proposal Creation workflow sequence.</t>
        </is>
      </c>
      <c r="J3" t="inlineStr">
        <is>
          <t>Module Proposal Creation passes all UI invariants without blocking.</t>
        </is>
      </c>
      <c r="K3" t="inlineStr">
        <is>
          <t>Locator.click: Timeout 30000ms exceeded.</t>
        </is>
      </c>
      <c r="L3">
        <f>HYPERLINK("evidence_output\RUN_20260928_184844\Proposal_Creation.png", "Screenshot")</f>
        <v/>
      </c>
      <c r="M3">
        <f>HYPERLINK("evidence\RUN_20260928_184844\Proposal_Creation\video\page@f09eb2d6655ee7297232a6e326feeeca.webm", "Video")</f>
        <v/>
      </c>
      <c r="N3">
        <f>HYPERLINK("evidence_output\RUN_20260928_184844\Proposal_Creation_diagnostics.log", "Logs")</f>
        <v/>
      </c>
      <c r="O3" t="inlineStr">
        <is>
          <t>2026-09-28 18:50:12</t>
        </is>
      </c>
      <c r="P3" t="inlineStr">
        <is>
          <t>2026-09-28 18:50:12</t>
        </is>
      </c>
      <c r="Q3" t="n">
        <v>1</v>
      </c>
      <c r="R3" t="inlineStr">
        <is>
          <t>Draft</t>
        </is>
      </c>
    </row>
    <row r="4">
      <c r="A4" t="inlineStr">
        <is>
          <t>PSA-0003</t>
        </is>
      </c>
      <c r="B4" t="inlineStr">
        <is>
          <t>26b0752e0f0d6dabb14ef6a63594f216</t>
        </is>
      </c>
      <c r="C4" t="inlineStr">
        <is>
          <t>RUN_20260928_185323</t>
        </is>
      </c>
      <c r="D4" t="inlineStr">
        <is>
          <t>PSA</t>
        </is>
      </c>
      <c r="E4" t="inlineStr">
        <is>
          <t>Proposal Creation</t>
        </is>
      </c>
      <c r="F4" t="inlineStr">
        <is>
          <t>Critical</t>
        </is>
      </c>
      <c r="G4" t="inlineStr">
        <is>
          <t>ProductDefect</t>
        </is>
      </c>
      <c r="H4" t="inlineStr">
        <is>
          <t>ProductDefect in Proposal Creation</t>
        </is>
      </c>
      <c r="I4" t="inlineStr">
        <is>
          <t>1. Authenticate to CRMLeaf.
2. Execute Proposal Creation workflow sequence.</t>
        </is>
      </c>
      <c r="J4" t="inlineStr">
        <is>
          <t>Module Proposal Creation passes all UI invariants without blocking.</t>
        </is>
      </c>
      <c r="K4" t="inlineStr">
        <is>
          <t>name 'cite' is not defined</t>
        </is>
      </c>
      <c r="L4">
        <f>HYPERLINK("evidence_output\RUN_20260928_185323\Proposal_Creation.png", "Screenshot")</f>
        <v/>
      </c>
      <c r="M4">
        <f>HYPERLINK("evidence\RUN_20260928_185323\Proposal_Creation\video\page@be461ac998a152d6ec52d8b91809df07.webm", "Video")</f>
        <v/>
      </c>
      <c r="N4">
        <f>HYPERLINK("evidence_output\RUN_20260928_185323\Proposal_Creation_diagnostics.log", "Logs")</f>
        <v/>
      </c>
      <c r="O4" t="inlineStr">
        <is>
          <t>2026-09-28 18:54:17</t>
        </is>
      </c>
      <c r="P4" t="inlineStr">
        <is>
          <t>2026-09-28 18:54:17</t>
        </is>
      </c>
      <c r="Q4" t="n">
        <v>1</v>
      </c>
      <c r="R4" t="inlineStr">
        <is>
          <t>Draft</t>
        </is>
      </c>
    </row>
    <row r="5">
      <c r="A5" t="inlineStr">
        <is>
          <t>PSA-0004</t>
        </is>
      </c>
      <c r="B5" t="inlineStr">
        <is>
          <t>66c5f5ae849316e668d754446bfcef06</t>
        </is>
      </c>
      <c r="C5" t="inlineStr">
        <is>
          <t>RUN_20260928_185323</t>
        </is>
      </c>
      <c r="D5" t="inlineStr">
        <is>
          <t>PSA</t>
        </is>
      </c>
      <c r="F5" t="inlineStr">
        <is>
          <t>Medium</t>
        </is>
      </c>
      <c r="G5" t="inlineStr">
        <is>
          <t>ScriptError</t>
        </is>
      </c>
      <c r="H5" t="inlineStr">
        <is>
          <t xml:space="preserve">ScriptError in </t>
        </is>
      </c>
      <c r="I5" t="inlineStr">
        <is>
          <t>1. Authenticate to CRMLeaf.
2. Execute  workflow sequence.</t>
        </is>
      </c>
      <c r="J5" t="inlineStr">
        <is>
          <t>Module  passes all UI invariants without blocking.</t>
        </is>
      </c>
      <c r="K5" t="inlineStr">
        <is>
          <t>Locator.click: Timeout 30000ms exceeded.</t>
        </is>
      </c>
      <c r="L5">
        <f>HYPERLINK("evidence_output\RUN_20260928_185323\screenshot.png", "Screenshot")</f>
        <v/>
      </c>
      <c r="M5">
        <f>HYPERLINK("evidence\RUN_20260928_185323\video\page@470de32719be17573222807a61d92f7a.webm", "Video")</f>
        <v/>
      </c>
      <c r="N5">
        <f>HYPERLINK("evidence_output\RUN_20260928_185323\diagnostics_diagnostics.log", "Logs")</f>
        <v/>
      </c>
      <c r="O5" t="inlineStr">
        <is>
          <t>2026-09-28 18:55:02</t>
        </is>
      </c>
      <c r="P5" t="inlineStr">
        <is>
          <t>2026-09-28 19:09:33</t>
        </is>
      </c>
      <c r="Q5" t="n">
        <v>9</v>
      </c>
      <c r="R5" t="inlineStr">
        <is>
          <t>Reproduced</t>
        </is>
      </c>
    </row>
    <row r="6">
      <c r="A6" t="inlineStr">
        <is>
          <t>PSA-0005</t>
        </is>
      </c>
      <c r="B6" t="inlineStr">
        <is>
          <t>b932507a03cf1fd82ff6de1d4a2125c1</t>
        </is>
      </c>
      <c r="C6" t="inlineStr">
        <is>
          <t>RUN_20260928_185323</t>
        </is>
      </c>
      <c r="D6" t="inlineStr">
        <is>
          <t>PSA</t>
        </is>
      </c>
      <c r="E6" t="inlineStr">
        <is>
          <t>Contract Creation</t>
        </is>
      </c>
      <c r="F6" t="inlineStr">
        <is>
          <t>Medium</t>
        </is>
      </c>
      <c r="G6" t="inlineStr">
        <is>
          <t>ScriptError</t>
        </is>
      </c>
      <c r="H6" t="inlineStr">
        <is>
          <t>ScriptError in Contract Creation</t>
        </is>
      </c>
      <c r="I6" t="inlineStr">
        <is>
          <t>1. Authenticate to CRMLeaf.
2. Execute Contract Creation workflow sequence.</t>
        </is>
      </c>
      <c r="J6" t="inlineStr">
        <is>
          <t>Module Contract Creation passes all UI invariants without blocking.</t>
        </is>
      </c>
      <c r="K6" t="inlineStr">
        <is>
          <t>Locator.click: Timeout 30000ms exceeded.</t>
        </is>
      </c>
      <c r="L6">
        <f>HYPERLINK("evidence_output\RUN_20260928_185323\Contract_Creation.png", "Screenshot")</f>
        <v/>
      </c>
      <c r="M6">
        <f>HYPERLINK("evidence\RUN_20260928_185323\Contract_Creation\video\page@5a1cf8aca24bb17646cbfdeff3c5d068.webm", "Video")</f>
        <v/>
      </c>
      <c r="N6">
        <f>HYPERLINK("evidence_output\RUN_20260928_185323\Contract_Creation_diagnostics.log", "Logs")</f>
        <v/>
      </c>
      <c r="O6" t="inlineStr">
        <is>
          <t>2026-09-28 18:57:19</t>
        </is>
      </c>
      <c r="P6" t="inlineStr">
        <is>
          <t>2026-09-28 18:57:19</t>
        </is>
      </c>
      <c r="Q6" t="n">
        <v>1</v>
      </c>
      <c r="R6" t="inlineStr">
        <is>
          <t>Draft</t>
        </is>
      </c>
    </row>
    <row r="7">
      <c r="A7" t="inlineStr">
        <is>
          <t>PSA-0006</t>
        </is>
      </c>
      <c r="B7" t="inlineStr">
        <is>
          <t>f36a3767d1a19a030eba331db2c04b7c</t>
        </is>
      </c>
      <c r="C7" t="inlineStr">
        <is>
          <t>RUN_20260928_185323</t>
        </is>
      </c>
      <c r="D7" t="inlineStr">
        <is>
          <t>PSA</t>
        </is>
      </c>
      <c r="F7" t="inlineStr">
        <is>
          <t>Medium</t>
        </is>
      </c>
      <c r="G7" t="inlineStr">
        <is>
          <t>ScriptError</t>
        </is>
      </c>
      <c r="H7" t="inlineStr">
        <is>
          <t xml:space="preserve">ScriptError in </t>
        </is>
      </c>
      <c r="I7" t="inlineStr">
        <is>
          <t>1. Authenticate to CRMLeaf.
2. Execute  workflow sequence.</t>
        </is>
      </c>
      <c r="J7" t="inlineStr">
        <is>
          <t>Module  passes all UI invariants without blocking.</t>
        </is>
      </c>
      <c r="K7" t="inlineStr">
        <is>
          <t>Locator expected to be visible</t>
        </is>
      </c>
      <c r="L7">
        <f>HYPERLINK("evidence_output\RUN_20260928_185323\screenshot.png", "Screenshot")</f>
        <v/>
      </c>
      <c r="M7">
        <f>HYPERLINK("evidence\RUN_20260928_185323\video\page@3ac65cb1f9a24cea87cf29e1bf0011d9.webm", "Video")</f>
        <v/>
      </c>
      <c r="N7">
        <f>HYPERLINK("evidence_output\RUN_20260928_185323\diagnostics_diagnostics.log", "Logs")</f>
        <v/>
      </c>
      <c r="O7" t="inlineStr">
        <is>
          <t>2026-09-28 18:57:46</t>
        </is>
      </c>
      <c r="P7" t="inlineStr">
        <is>
          <t>2026-09-28 18:57:46</t>
        </is>
      </c>
      <c r="Q7" t="n">
        <v>1</v>
      </c>
      <c r="R7" t="inlineStr">
        <is>
          <t>Draft</t>
        </is>
      </c>
    </row>
    <row r="8">
      <c r="A8" t="inlineStr">
        <is>
          <t>PSA-0007</t>
        </is>
      </c>
      <c r="B8" t="inlineStr">
        <is>
          <t>4d9d3a1b8d5544ed0a5bfbe5bb4b7209</t>
        </is>
      </c>
      <c r="C8" t="inlineStr">
        <is>
          <t>RUN_20260928_190007</t>
        </is>
      </c>
      <c r="D8" t="inlineStr">
        <is>
          <t>PSA</t>
        </is>
      </c>
      <c r="E8" t="inlineStr">
        <is>
          <t>Proposal Creation</t>
        </is>
      </c>
      <c r="F8" t="inlineStr">
        <is>
          <t>Medium</t>
        </is>
      </c>
      <c r="G8" t="inlineStr">
        <is>
          <t>ScriptError</t>
        </is>
      </c>
      <c r="H8" t="inlineStr">
        <is>
          <t>ScriptError in Proposal Creation</t>
        </is>
      </c>
      <c r="I8" t="inlineStr">
        <is>
          <t>1. Authenticate to CRMLeaf.
2. Execute Proposal Creation workflow sequence.</t>
        </is>
      </c>
      <c r="J8" t="inlineStr">
        <is>
          <t>Module Proposal Creation passes all UI invariants without blocking.</t>
        </is>
      </c>
      <c r="K8" t="inlineStr">
        <is>
          <t>Locator.wait_for: Timeout 10000ms exceeded.</t>
        </is>
      </c>
      <c r="L8">
        <f>HYPERLINK("evidence_output\RUN_20260928_190007\Proposal_Creation.png", "Screenshot")</f>
        <v/>
      </c>
      <c r="M8">
        <f>HYPERLINK("evidence\RUN_20260928_190007\Proposal_Creation\video\page@b5e70bc4e53f156ed2b51fea35273fee.webm", "Video")</f>
        <v/>
      </c>
      <c r="N8">
        <f>HYPERLINK("evidence_output\RUN_20260928_190007\Proposal_Creation_diagnostics.log", "Logs")</f>
        <v/>
      </c>
      <c r="O8" t="inlineStr">
        <is>
          <t>2026-09-28 19:01:13</t>
        </is>
      </c>
      <c r="P8" t="inlineStr">
        <is>
          <t>2026-09-28 19:01:13</t>
        </is>
      </c>
      <c r="Q8" t="n">
        <v>1</v>
      </c>
      <c r="R8" t="inlineStr">
        <is>
          <t>Draft</t>
        </is>
      </c>
    </row>
    <row r="9">
      <c r="A9" t="inlineStr">
        <is>
          <t>PSA-0008</t>
        </is>
      </c>
      <c r="B9" t="inlineStr">
        <is>
          <t>6bafde68305e9b5a022e11dbc52febf3</t>
        </is>
      </c>
      <c r="C9" t="inlineStr">
        <is>
          <t>RUN_20260928_191323</t>
        </is>
      </c>
      <c r="D9" t="inlineStr">
        <is>
          <t>PSA</t>
        </is>
      </c>
      <c r="E9" t="inlineStr">
        <is>
          <t>Proposal Acceptance</t>
        </is>
      </c>
      <c r="F9" t="inlineStr">
        <is>
          <t>Critical</t>
        </is>
      </c>
      <c r="G9" t="inlineStr">
        <is>
          <t>ProductDefect</t>
        </is>
      </c>
      <c r="H9" t="inlineStr">
        <is>
          <t>ProductDefect in Proposal Acceptance</t>
        </is>
      </c>
      <c r="I9" t="inlineStr">
        <is>
          <t>1. Authenticate to CRMLeaf.
2. Execute Proposal Acceptance workflow sequence.</t>
        </is>
      </c>
      <c r="J9" t="inlineStr">
        <is>
          <t>Module Proposal Acceptance passes all UI invariants without blocking.</t>
        </is>
      </c>
      <c r="K9" t="inlineStr">
        <is>
          <t>name 'cite' is not defined</t>
        </is>
      </c>
      <c r="L9">
        <f>HYPERLINK("evidence_output\RUN_20260928_191323\Proposal_Acceptance.png", "Screenshot")</f>
        <v/>
      </c>
      <c r="M9">
        <f>HYPERLINK("evidence\RUN_20260928_191323\Proposal_Acceptance\video\page@f217bf799e77672e53cf097c84880e1a.webm", "Video")</f>
        <v/>
      </c>
      <c r="N9">
        <f>HYPERLINK("evidence_output\RUN_20260928_191323\Proposal_Acceptance_diagnostics.log", "Logs")</f>
        <v/>
      </c>
      <c r="O9" t="inlineStr">
        <is>
          <t>2026-09-28 19:14:33</t>
        </is>
      </c>
      <c r="P9" t="inlineStr">
        <is>
          <t>2026-09-28 19:14:33</t>
        </is>
      </c>
      <c r="Q9" t="n">
        <v>1</v>
      </c>
      <c r="R9" t="inlineStr">
        <is>
          <t>Draft</t>
        </is>
      </c>
    </row>
    <row r="10">
      <c r="A10" t="inlineStr">
        <is>
          <t>PSA-0009</t>
        </is>
      </c>
      <c r="B10" t="inlineStr">
        <is>
          <t>9f005006ffe09636c039f69c1e319cc3</t>
        </is>
      </c>
      <c r="C10" t="inlineStr">
        <is>
          <t>RUN_20260928_191323</t>
        </is>
      </c>
      <c r="D10" t="inlineStr">
        <is>
          <t>PSA</t>
        </is>
      </c>
      <c r="E10" t="inlineStr">
        <is>
          <t>Milestones</t>
        </is>
      </c>
      <c r="F10" t="inlineStr">
        <is>
          <t>Medium</t>
        </is>
      </c>
      <c r="G10" t="inlineStr">
        <is>
          <t>ScriptError</t>
        </is>
      </c>
      <c r="H10" t="inlineStr">
        <is>
          <t>ScriptError in Milestones</t>
        </is>
      </c>
      <c r="I10" t="inlineStr">
        <is>
          <t>1. Authenticate to CRMLeaf.
2. Execute Milestones workflow sequence.</t>
        </is>
      </c>
      <c r="J10" t="inlineStr">
        <is>
          <t>Module Milestones passes all UI invariants without blocking.</t>
        </is>
      </c>
      <c r="K10" t="inlineStr">
        <is>
          <t>Locator.wait_for: Timeout 10000ms exceeded.</t>
        </is>
      </c>
      <c r="L10">
        <f>HYPERLINK("evidence_output\RUN_20260928_191323\Milestones.png", "Screenshot")</f>
        <v/>
      </c>
      <c r="M10">
        <f>HYPERLINK("evidence\RUN_20260928_191323\Milestones\video\page@3028c7793f5107420717c95c871107a4.webm", "Video")</f>
        <v/>
      </c>
      <c r="N10">
        <f>HYPERLINK("evidence_output\RUN_20260928_191323\Milestones_diagnostics.log", "Logs")</f>
        <v/>
      </c>
      <c r="O10" t="inlineStr">
        <is>
          <t>2026-09-28 19:15:51</t>
        </is>
      </c>
      <c r="P10" t="inlineStr">
        <is>
          <t>2026-09-28 19:15:51</t>
        </is>
      </c>
      <c r="Q10" t="n">
        <v>1</v>
      </c>
      <c r="R10" t="inlineStr">
        <is>
          <t>Draft</t>
        </is>
      </c>
    </row>
    <row r="11">
      <c r="A11" t="inlineStr">
        <is>
          <t>PSA-0010</t>
        </is>
      </c>
      <c r="B11" t="inlineStr">
        <is>
          <t>f3902ceb49a1c59417c0c9637d2fbe96</t>
        </is>
      </c>
      <c r="C11" t="inlineStr">
        <is>
          <t>RUN_20260928_192134</t>
        </is>
      </c>
      <c r="D11" t="inlineStr">
        <is>
          <t>PSA</t>
        </is>
      </c>
      <c r="E11" t="inlineStr">
        <is>
          <t>Lead Creation</t>
        </is>
      </c>
      <c r="F11" t="inlineStr">
        <is>
          <t>Medium</t>
        </is>
      </c>
      <c r="G11" t="inlineStr">
        <is>
          <t>ScriptError</t>
        </is>
      </c>
      <c r="H11" t="inlineStr">
        <is>
          <t>ScriptError in Lead Creation</t>
        </is>
      </c>
      <c r="I11" t="inlineStr">
        <is>
          <t>1. Authenticate to CRMLeaf.
2. Execute Lead Creation workflow sequence.</t>
        </is>
      </c>
      <c r="J11" t="inlineStr">
        <is>
          <t>Module Lead Creation passes all UI invariants without blocking.</t>
        </is>
      </c>
      <c r="K11" t="inlineStr">
        <is>
          <t>Timeout 30000ms exceeded.</t>
        </is>
      </c>
      <c r="L11">
        <f>HYPERLINK("evidence_output\RUN_20260928_192134\Lead_Creation.png", "Screenshot")</f>
        <v/>
      </c>
      <c r="M11">
        <f>HYPERLINK("evidence\RUN_20260928_192134\Lead_Creation\video\page@e9eea1af79593c93d343fc5dd3c612f8.webm", "Video")</f>
        <v/>
      </c>
      <c r="N11">
        <f>HYPERLINK("evidence_output\RUN_20260928_192134\Lead_Creation_diagnostics.log", "Logs")</f>
        <v/>
      </c>
      <c r="O11" t="inlineStr">
        <is>
          <t>2026-09-28 19:22:34</t>
        </is>
      </c>
      <c r="P11" t="inlineStr">
        <is>
          <t>2026-09-28 19:22:34</t>
        </is>
      </c>
      <c r="Q11" t="n">
        <v>1</v>
      </c>
      <c r="R11" t="inlineStr">
        <is>
          <t>Draft</t>
        </is>
      </c>
    </row>
    <row r="12">
      <c r="A12" t="inlineStr">
        <is>
          <t>PSA-0011</t>
        </is>
      </c>
      <c r="B12" t="inlineStr">
        <is>
          <t>76d46776291440e86d28fa177506560a</t>
        </is>
      </c>
      <c r="C12" t="inlineStr">
        <is>
          <t>RUN_20260928_192134</t>
        </is>
      </c>
      <c r="D12" t="inlineStr">
        <is>
          <t>PSA</t>
        </is>
      </c>
      <c r="E12" t="inlineStr">
        <is>
          <t>Tasks</t>
        </is>
      </c>
      <c r="F12" t="inlineStr">
        <is>
          <t>Medium</t>
        </is>
      </c>
      <c r="G12" t="inlineStr">
        <is>
          <t>ScriptError</t>
        </is>
      </c>
      <c r="H12" t="inlineStr">
        <is>
          <t>ScriptError in Tasks</t>
        </is>
      </c>
      <c r="I12" t="inlineStr">
        <is>
          <t>1. Authenticate to CRMLeaf.
2. Execute Tasks workflow sequence.</t>
        </is>
      </c>
      <c r="J12" t="inlineStr">
        <is>
          <t>Module Tasks passes all UI invariants without blocking.</t>
        </is>
      </c>
      <c r="K12" t="inlineStr">
        <is>
          <t>Locator.wait_for: Timeout 10000ms exceeded.</t>
        </is>
      </c>
      <c r="L12">
        <f>HYPERLINK("evidence_output\RUN_20260928_192134\Tasks.png", "Screenshot")</f>
        <v/>
      </c>
      <c r="M12">
        <f>HYPERLINK("evidence\RUN_20260928_192134\Tasks\video\page@3901a52cb119b2ba022a199354ad77a0.webm", "Video")</f>
        <v/>
      </c>
      <c r="N12">
        <f>HYPERLINK("evidence_output\RUN_20260928_192134\Tasks_diagnostics.log", "Logs")</f>
        <v/>
      </c>
      <c r="O12" t="inlineStr">
        <is>
          <t>2026-09-28 19:23:53</t>
        </is>
      </c>
      <c r="P12" t="inlineStr">
        <is>
          <t>2026-09-29 10:54:09</t>
        </is>
      </c>
      <c r="Q12" t="n">
        <v>2</v>
      </c>
      <c r="R12" t="inlineStr">
        <is>
          <t>Reproduced</t>
        </is>
      </c>
    </row>
    <row r="13">
      <c r="A13" t="inlineStr">
        <is>
          <t>PSA-0012</t>
        </is>
      </c>
      <c r="B13" t="inlineStr">
        <is>
          <t>e3910ecb367f4742154da20739689bce</t>
        </is>
      </c>
      <c r="C13" t="inlineStr">
        <is>
          <t>RUN_20260928_192507</t>
        </is>
      </c>
      <c r="D13" t="inlineStr">
        <is>
          <t>PSA</t>
        </is>
      </c>
      <c r="E13" t="inlineStr">
        <is>
          <t>Lead Creation</t>
        </is>
      </c>
      <c r="F13" t="inlineStr">
        <is>
          <t>Critical</t>
        </is>
      </c>
      <c r="G13" t="inlineStr">
        <is>
          <t>ProductDefect</t>
        </is>
      </c>
      <c r="H13" t="inlineStr">
        <is>
          <t>ProductDefect in Lead Creation</t>
        </is>
      </c>
      <c r="I13" t="inlineStr">
        <is>
          <t>1. Authenticate to CRMLeaf.
2. Execute Lead Creation workflow sequence.</t>
        </is>
      </c>
      <c r="J13" t="inlineStr">
        <is>
          <t>Module Lead Creation passes all UI invariants without blocking.</t>
        </is>
      </c>
      <c r="K13" t="inlineStr">
        <is>
          <t>name 'cite' is not defined</t>
        </is>
      </c>
      <c r="L13">
        <f>HYPERLINK("evidence_output\RUN_20260928_192507\Lead_Creation.png", "Screenshot")</f>
        <v/>
      </c>
      <c r="M13">
        <f>HYPERLINK("evidence\RUN_20260928_192507\Lead_Creation\video\page@9d8056236262aa3a66b22c5c7d4cc855.webm", "Video")</f>
        <v/>
      </c>
      <c r="N13">
        <f>HYPERLINK("evidence_output\RUN_20260928_192507\Lead_Creation_diagnostics.log", "Logs")</f>
        <v/>
      </c>
      <c r="O13" t="inlineStr">
        <is>
          <t>2026-09-28 19:25:32</t>
        </is>
      </c>
      <c r="P13" t="inlineStr">
        <is>
          <t>2026-09-28 19:25:32</t>
        </is>
      </c>
      <c r="Q13" t="n">
        <v>1</v>
      </c>
      <c r="R13" t="inlineStr">
        <is>
          <t>Draft</t>
        </is>
      </c>
    </row>
    <row r="14">
      <c r="A14" t="inlineStr">
        <is>
          <t>PSA-0013</t>
        </is>
      </c>
      <c r="B14" t="inlineStr">
        <is>
          <t>a7d85d694a60d1b7f30b0f91ea1354f7</t>
        </is>
      </c>
      <c r="C14" t="inlineStr">
        <is>
          <t>RUN_20260928_192507</t>
        </is>
      </c>
      <c r="D14" t="inlineStr">
        <is>
          <t>PSA</t>
        </is>
      </c>
      <c r="E14" t="inlineStr">
        <is>
          <t>Tasks</t>
        </is>
      </c>
      <c r="F14" t="inlineStr">
        <is>
          <t>Critical</t>
        </is>
      </c>
      <c r="G14" t="inlineStr">
        <is>
          <t>ProductDefect</t>
        </is>
      </c>
      <c r="H14" t="inlineStr">
        <is>
          <t>ProductDefect in Tasks</t>
        </is>
      </c>
      <c r="I14" t="inlineStr">
        <is>
          <t>1. Authenticate to CRMLeaf.
2. Execute Tasks workflow sequence.</t>
        </is>
      </c>
      <c r="J14" t="inlineStr">
        <is>
          <t>Module Tasks passes all UI invariants without blocking.</t>
        </is>
      </c>
      <c r="K14" t="inlineStr">
        <is>
          <t>name 'cite' is not defined</t>
        </is>
      </c>
      <c r="L14">
        <f>HYPERLINK("evidence_output\RUN_20260928_192507\Tasks.png", "Screenshot")</f>
        <v/>
      </c>
      <c r="M14">
        <f>HYPERLINK("evidence\RUN_20260928_192507\Tasks\video\page@8bd030067ea6ef90d8b281e487af9384.webm", "Video")</f>
        <v/>
      </c>
      <c r="N14">
        <f>HYPERLINK("evidence_output\RUN_20260928_192507\Tasks_diagnostics.log", "Logs")</f>
        <v/>
      </c>
      <c r="O14" t="inlineStr">
        <is>
          <t>2026-09-28 19:26:41</t>
        </is>
      </c>
      <c r="P14" t="inlineStr">
        <is>
          <t>2026-09-28 19:26:41</t>
        </is>
      </c>
      <c r="Q14" t="n">
        <v>1</v>
      </c>
      <c r="R14" t="inlineStr">
        <is>
          <t>Draft</t>
        </is>
      </c>
    </row>
    <row r="15">
      <c r="A15" t="inlineStr">
        <is>
          <t>PSA-0014</t>
        </is>
      </c>
      <c r="B15" t="inlineStr">
        <is>
          <t>aec65f6465c0191618509fbc74182e3f</t>
        </is>
      </c>
      <c r="C15" t="inlineStr">
        <is>
          <t>RUN_20260928_192912</t>
        </is>
      </c>
      <c r="D15" t="inlineStr">
        <is>
          <t>PSA</t>
        </is>
      </c>
      <c r="E15" t="inlineStr">
        <is>
          <t>Lead Creation</t>
        </is>
      </c>
      <c r="F15" t="inlineStr">
        <is>
          <t>Medium</t>
        </is>
      </c>
      <c r="G15" t="inlineStr">
        <is>
          <t>ScriptError</t>
        </is>
      </c>
      <c r="H15" t="inlineStr">
        <is>
          <t>ScriptError in Lead Creation</t>
        </is>
      </c>
      <c r="I15" t="inlineStr">
        <is>
          <t>1. Authenticate to CRMLeaf.
2. Execute Lead Creation workflow sequence.</t>
        </is>
      </c>
      <c r="J15" t="inlineStr">
        <is>
          <t>Module Lead Creation passes all UI invariants without blocking.</t>
        </is>
      </c>
      <c r="K15" t="inlineStr">
        <is>
          <t>Locator.click: Element is outside of the viewport</t>
        </is>
      </c>
      <c r="L15">
        <f>HYPERLINK("evidence_output\RUN_20260928_192912\Lead_Creation.png", "Screenshot")</f>
        <v/>
      </c>
      <c r="M15">
        <f>HYPERLINK("evidence\RUN_20260928_192912\Lead_Creation\video\page@ae197235549da909b1dd49224c7a1521.webm", "Video")</f>
        <v/>
      </c>
      <c r="N15">
        <f>HYPERLINK("evidence_output\RUN_20260928_192912\Lead_Creation_diagnostics.log", "Logs")</f>
        <v/>
      </c>
      <c r="O15" t="inlineStr">
        <is>
          <t>2026-09-28 19:29:43</t>
        </is>
      </c>
      <c r="P15" t="inlineStr">
        <is>
          <t>2026-09-29 10:37:32</t>
        </is>
      </c>
      <c r="Q15" t="n">
        <v>2</v>
      </c>
      <c r="R15" t="inlineStr">
        <is>
          <t>Reproduced</t>
        </is>
      </c>
    </row>
    <row r="16">
      <c r="A16" t="inlineStr">
        <is>
          <t>PSA-0015</t>
        </is>
      </c>
      <c r="B16" t="inlineStr">
        <is>
          <t>38d3f271c6374dc7626945b8b74eb0ac</t>
        </is>
      </c>
      <c r="C16" t="inlineStr">
        <is>
          <t>RUN_20260928_192912</t>
        </is>
      </c>
      <c r="D16" t="inlineStr">
        <is>
          <t>PSA</t>
        </is>
      </c>
      <c r="E16" t="inlineStr">
        <is>
          <t>Project Creation</t>
        </is>
      </c>
      <c r="F16" t="inlineStr">
        <is>
          <t>Critical</t>
        </is>
      </c>
      <c r="G16" t="inlineStr">
        <is>
          <t>ProductDefect</t>
        </is>
      </c>
      <c r="H16" t="inlineStr">
        <is>
          <t>ProductDefect in Project Creation</t>
        </is>
      </c>
      <c r="I16" t="inlineStr">
        <is>
          <t>1. Authenticate to CRMLeaf.
2. Execute Project Creation workflow sequence.</t>
        </is>
      </c>
      <c r="J16" t="inlineStr">
        <is>
          <t>Module Project Creation passes all UI invariants without blocking.</t>
        </is>
      </c>
      <c r="K16" t="inlineStr">
        <is>
          <t>Page.goto: Target page, context or browser has been closed</t>
        </is>
      </c>
      <c r="M16">
        <f>HYPERLINK("evidence\RUN_20260928_192912\Project_Creation\video\page@17af3ee36ed538ef93b90eff95f190db.webm", "Video")</f>
        <v/>
      </c>
      <c r="N16">
        <f>HYPERLINK("evidence_output\RUN_20260928_192912\Project_Creation_diagnostics.log", "Logs")</f>
        <v/>
      </c>
      <c r="O16" t="inlineStr">
        <is>
          <t>2026-09-28 19:29:50</t>
        </is>
      </c>
      <c r="P16" t="inlineStr">
        <is>
          <t>2026-09-28 19:29:50</t>
        </is>
      </c>
      <c r="Q16" t="n">
        <v>1</v>
      </c>
      <c r="R16" t="inlineStr">
        <is>
          <t>Draft</t>
        </is>
      </c>
    </row>
    <row r="17">
      <c r="A17" t="inlineStr">
        <is>
          <t>PSA-0016</t>
        </is>
      </c>
      <c r="B17" t="inlineStr">
        <is>
          <t>77b59b1f5347e56e1759d52f988f7ed2</t>
        </is>
      </c>
      <c r="C17" t="inlineStr">
        <is>
          <t>RUN_20260929_103655</t>
        </is>
      </c>
      <c r="D17" t="inlineStr">
        <is>
          <t>PSA</t>
        </is>
      </c>
      <c r="E17" t="inlineStr">
        <is>
          <t>Tasks</t>
        </is>
      </c>
      <c r="F17" t="inlineStr">
        <is>
          <t>Medium</t>
        </is>
      </c>
      <c r="G17" t="inlineStr">
        <is>
          <t>ScriptError</t>
        </is>
      </c>
      <c r="H17" t="inlineStr">
        <is>
          <t>ScriptError in Tasks</t>
        </is>
      </c>
      <c r="I17" t="inlineStr">
        <is>
          <t>1. Authenticate to CRMLeaf.
2. Execute Tasks workflow sequence.</t>
        </is>
      </c>
      <c r="J17" t="inlineStr">
        <is>
          <t>Module Tasks passes all UI invariants without blocking.</t>
        </is>
      </c>
      <c r="K17" t="inlineStr">
        <is>
          <t>Locator.wait_for: Timeout 15000ms exceeded.</t>
        </is>
      </c>
      <c r="L17">
        <f>HYPERLINK("evidence_output\RUN_20260929_103655\Tasks.png", "Screenshot")</f>
        <v/>
      </c>
      <c r="M17">
        <f>HYPERLINK("evidence\RUN_20260929_103655\Tasks\video\page@659f25e2e5eb59c3b45a3d162926e734.webm", "Video")</f>
        <v/>
      </c>
      <c r="N17">
        <f>HYPERLINK("evidence_output\RUN_20260929_103655\Tasks_diagnostics.log", "Logs")</f>
        <v/>
      </c>
      <c r="O17" t="inlineStr">
        <is>
          <t>2026-09-29 10:39:07</t>
        </is>
      </c>
      <c r="P17" t="inlineStr">
        <is>
          <t>2026-09-29 10:39:07</t>
        </is>
      </c>
      <c r="Q17" t="n">
        <v>1</v>
      </c>
      <c r="R17" t="inlineStr">
        <is>
          <t>Draft</t>
        </is>
      </c>
    </row>
    <row r="18">
      <c r="A18" t="inlineStr">
        <is>
          <t>PSA-0017</t>
        </is>
      </c>
      <c r="B18" t="inlineStr">
        <is>
          <t>e2b2b2138f3ec1134d5ae12826b0ac0f</t>
        </is>
      </c>
      <c r="C18" t="inlineStr">
        <is>
          <t>RUN_20260929_104059</t>
        </is>
      </c>
      <c r="D18" t="inlineStr">
        <is>
          <t>PSA</t>
        </is>
      </c>
      <c r="E18" t="inlineStr">
        <is>
          <t>Lead Creation</t>
        </is>
      </c>
      <c r="F18" t="inlineStr">
        <is>
          <t>Medium</t>
        </is>
      </c>
      <c r="G18" t="inlineStr">
        <is>
          <t>ScriptError</t>
        </is>
      </c>
      <c r="H18" t="inlineStr">
        <is>
          <t>ScriptError in Lead Creation</t>
        </is>
      </c>
      <c r="I18" t="inlineStr">
        <is>
          <t>1. Authenticate to CRMLeaf.
2. Execute Lead Creation workflow sequence.</t>
        </is>
      </c>
      <c r="J18" t="inlineStr">
        <is>
          <t>Module Lead Creation passes all UI invariants without blocking.</t>
        </is>
      </c>
      <c r="K18" t="inlineStr">
        <is>
          <t>Locator.scroll_into_view_if_needed: Timeout 29922ms exceeded.</t>
        </is>
      </c>
      <c r="L18">
        <f>HYPERLINK("evidence_output\RUN_20260929_104059\Lead_Creation.png", "Screenshot")</f>
        <v/>
      </c>
      <c r="M18">
        <f>HYPERLINK("evidence\RUN_20260929_104059\Lead_Creation\video\page@360545e00a0b9c7a011219351bc73370.webm", "Video")</f>
        <v/>
      </c>
      <c r="N18">
        <f>HYPERLINK("evidence_output\RUN_20260929_104059\Lead_Creation_diagnostics.log", "Logs")</f>
        <v/>
      </c>
      <c r="O18" t="inlineStr">
        <is>
          <t>2026-09-29 10:42:01</t>
        </is>
      </c>
      <c r="P18" t="inlineStr">
        <is>
          <t>2026-09-29 10:42:01</t>
        </is>
      </c>
      <c r="Q18" t="n">
        <v>1</v>
      </c>
      <c r="R18" t="inlineStr">
        <is>
          <t>Draft</t>
        </is>
      </c>
    </row>
    <row r="19">
      <c r="A19" t="inlineStr">
        <is>
          <t>PSA-0018</t>
        </is>
      </c>
      <c r="B19" t="inlineStr">
        <is>
          <t>baf509a7f55bbee0a670f1fdff9ef7b6</t>
        </is>
      </c>
      <c r="C19" t="inlineStr">
        <is>
          <t>RUN_20260929_104059</t>
        </is>
      </c>
      <c r="D19" t="inlineStr">
        <is>
          <t>PSA</t>
        </is>
      </c>
      <c r="E19" t="inlineStr">
        <is>
          <t>Project Creation</t>
        </is>
      </c>
      <c r="F19" t="inlineStr">
        <is>
          <t>Critical</t>
        </is>
      </c>
      <c r="G19" t="inlineStr">
        <is>
          <t>ProductDefect</t>
        </is>
      </c>
      <c r="H19" t="inlineStr">
        <is>
          <t>ProductDefect in Project Creation</t>
        </is>
      </c>
      <c r="I19" t="inlineStr">
        <is>
          <t>1. Authenticate to CRMLeaf.
2. Execute Project Creation workflow sequence.</t>
        </is>
      </c>
      <c r="J19" t="inlineStr">
        <is>
          <t>Module Project Creation passes all UI invariants without blocking.</t>
        </is>
      </c>
      <c r="K19" t="inlineStr">
        <is>
          <t>Page.goto: net::ERR_ABORTED; maybe frame was detached?</t>
        </is>
      </c>
      <c r="M19">
        <f>HYPERLINK("evidence\RUN_20260929_104059\Project_Creation\video\page@8e108af3dfe3a3331cc7180f4469b0bb.webm", "Video")</f>
        <v/>
      </c>
      <c r="N19">
        <f>HYPERLINK("evidence_output\RUN_20260929_104059\Project_Creation_diagnostics.log", "Logs")</f>
        <v/>
      </c>
      <c r="O19" t="inlineStr">
        <is>
          <t>2026-09-29 10:42:05</t>
        </is>
      </c>
      <c r="P19" t="inlineStr">
        <is>
          <t>2026-09-29 10:42:05</t>
        </is>
      </c>
      <c r="Q19" t="n">
        <v>1</v>
      </c>
      <c r="R19" t="inlineStr">
        <is>
          <t>Draft</t>
        </is>
      </c>
    </row>
    <row r="20">
      <c r="A20" t="inlineStr">
        <is>
          <t>PSA-0019</t>
        </is>
      </c>
      <c r="B20" t="inlineStr">
        <is>
          <t>69455fa36c6e140958120d83c5e7dc1a</t>
        </is>
      </c>
      <c r="C20" t="inlineStr">
        <is>
          <t>RUN_20260929_105219</t>
        </is>
      </c>
      <c r="D20" t="inlineStr">
        <is>
          <t>PSA</t>
        </is>
      </c>
      <c r="E20" t="inlineStr">
        <is>
          <t>Lead Creation</t>
        </is>
      </c>
      <c r="F20" t="inlineStr">
        <is>
          <t>Medium</t>
        </is>
      </c>
      <c r="G20" t="inlineStr">
        <is>
          <t>ScriptError</t>
        </is>
      </c>
      <c r="H20" t="inlineStr">
        <is>
          <t>ScriptError in Lead Creation</t>
        </is>
      </c>
      <c r="I20" t="inlineStr">
        <is>
          <t>1. Authenticate to CRMLeaf.
2. Execute Lead Creation workflow sequence.</t>
        </is>
      </c>
      <c r="J20" t="inlineStr">
        <is>
          <t>Module Lead Creation passes all UI invariants without blocking.</t>
        </is>
      </c>
      <c r="K20" t="inlineStr">
        <is>
          <t>Locator.wait_for: Timeout 10000ms exceeded.</t>
        </is>
      </c>
      <c r="L20">
        <f>HYPERLINK("evidence_output\RUN_20260929_105219\Lead_Creation.png", "Screenshot")</f>
        <v/>
      </c>
      <c r="M20">
        <f>HYPERLINK("evidence\RUN_20260929_105219\Lead_Creation\video\page@8a313bfa14a8c72cea3f25ebd4c0deb3.webm", "Video")</f>
        <v/>
      </c>
      <c r="N20">
        <f>HYPERLINK("evidence_output\RUN_20260929_105219\Lead_Creation_diagnostics.log", "Logs")</f>
        <v/>
      </c>
      <c r="O20" t="inlineStr">
        <is>
          <t>2026-09-29 10:53:00</t>
        </is>
      </c>
      <c r="P20" t="inlineStr">
        <is>
          <t>2026-09-29 10:53:00</t>
        </is>
      </c>
      <c r="Q20" t="n">
        <v>1</v>
      </c>
      <c r="R20" t="inlineStr">
        <is>
          <t>Draft</t>
        </is>
      </c>
    </row>
    <row r="21">
      <c r="A21" t="inlineStr">
        <is>
          <t>PSA-0020</t>
        </is>
      </c>
      <c r="B21" t="inlineStr">
        <is>
          <t>08c40dbe19e6880a0fd094ca674c47b3</t>
        </is>
      </c>
      <c r="C21" t="inlineStr">
        <is>
          <t>RUN_20260929_111603</t>
        </is>
      </c>
      <c r="D21" t="inlineStr">
        <is>
          <t>PSA</t>
        </is>
      </c>
      <c r="E21" t="inlineStr">
        <is>
          <t>Project Creation</t>
        </is>
      </c>
      <c r="F21" t="inlineStr">
        <is>
          <t>Medium</t>
        </is>
      </c>
      <c r="G21" t="inlineStr">
        <is>
          <t>ScriptError</t>
        </is>
      </c>
      <c r="H21" t="inlineStr">
        <is>
          <t>ScriptError in Project Creation</t>
        </is>
      </c>
      <c r="I21" t="inlineStr">
        <is>
          <t>1. Authenticate to CRMLeaf.
2. Execute Project Creation workflow sequence.</t>
        </is>
      </c>
      <c r="J21" t="inlineStr">
        <is>
          <t>Module Project Creation passes all UI invariants without blocking.</t>
        </is>
      </c>
      <c r="K21" t="inlineStr">
        <is>
          <t>Locator.click: Timeout 30000ms exceeded.</t>
        </is>
      </c>
      <c r="L21">
        <f>HYPERLINK("evidence_output\RUN_20260929_111603\Project_Creation.png", "Screenshot")</f>
        <v/>
      </c>
      <c r="M21">
        <f>HYPERLINK("evidence\RUN_20260929_111603\Project_Creation\video\page@990eb22767e08c753cf707967afc31c5.webm", "Video")</f>
        <v/>
      </c>
      <c r="N21">
        <f>HYPERLINK("evidence_output\RUN_20260929_111603\Project_Creation_diagnostics.log", "Logs")</f>
        <v/>
      </c>
      <c r="O21" t="inlineStr">
        <is>
          <t>2026-09-29 11:18:50</t>
        </is>
      </c>
      <c r="P21" t="inlineStr">
        <is>
          <t>2026-09-29 14:02:44</t>
        </is>
      </c>
      <c r="Q21" t="n">
        <v>2</v>
      </c>
      <c r="R21" t="inlineStr">
        <is>
          <t>Reproduced</t>
        </is>
      </c>
    </row>
    <row r="22">
      <c r="A22" t="inlineStr">
        <is>
          <t>PSA-0021</t>
        </is>
      </c>
      <c r="B22" t="inlineStr">
        <is>
          <t>cf63e74cb43d85a4e1aacf1aaee752da</t>
        </is>
      </c>
      <c r="C22" t="inlineStr">
        <is>
          <t>RUN_20260929_112058</t>
        </is>
      </c>
      <c r="D22" t="inlineStr">
        <is>
          <t>PSA</t>
        </is>
      </c>
      <c r="E22" t="inlineStr">
        <is>
          <t>Project Overview</t>
        </is>
      </c>
      <c r="F22" t="inlineStr">
        <is>
          <t>Medium</t>
        </is>
      </c>
      <c r="G22" t="inlineStr">
        <is>
          <t>ScriptError</t>
        </is>
      </c>
      <c r="H22" t="inlineStr">
        <is>
          <t>ScriptError in Project Overview</t>
        </is>
      </c>
      <c r="I22" t="inlineStr">
        <is>
          <t>1. Authenticate to CRMLeaf.
2. Execute Project Overview workflow sequence.</t>
        </is>
      </c>
      <c r="J22" t="inlineStr">
        <is>
          <t>Module Project Overview passes all UI invariants without blocking.</t>
        </is>
      </c>
      <c r="K22" t="inlineStr">
        <is>
          <t>Locator.wait_for: Timeout 10000ms exceeded.</t>
        </is>
      </c>
      <c r="L22">
        <f>HYPERLINK("evidence_output\RUN_20260929_112058\Project_Overview.png", "Screenshot")</f>
        <v/>
      </c>
      <c r="M22">
        <f>HYPERLINK("evidence\RUN_20260929_112058\Project_Overview\video\page@4b5c893d91000b38154d963cb3b520e5.webm", "Video")</f>
        <v/>
      </c>
      <c r="N22">
        <f>HYPERLINK("evidence_output\RUN_20260929_112058\Project_Overview_diagnostics.log", "Logs")</f>
        <v/>
      </c>
      <c r="O22" t="inlineStr">
        <is>
          <t>2026-09-29 11:23:44</t>
        </is>
      </c>
      <c r="P22" t="inlineStr">
        <is>
          <t>2026-09-29 16:13:10</t>
        </is>
      </c>
      <c r="Q22" t="n">
        <v>9</v>
      </c>
      <c r="R22" t="inlineStr">
        <is>
          <t>Reproduced</t>
        </is>
      </c>
    </row>
    <row r="23">
      <c r="A23" t="inlineStr">
        <is>
          <t>PSA-0022</t>
        </is>
      </c>
      <c r="B23" t="inlineStr">
        <is>
          <t>e10c92b766f5d51f51910168ac4edbde</t>
        </is>
      </c>
      <c r="C23" t="inlineStr">
        <is>
          <t>RUN_20260929_121429</t>
        </is>
      </c>
      <c r="D23" t="inlineStr">
        <is>
          <t>PSA</t>
        </is>
      </c>
      <c r="E23" t="inlineStr">
        <is>
          <t>Project Overview</t>
        </is>
      </c>
      <c r="F23" t="inlineStr">
        <is>
          <t>Medium</t>
        </is>
      </c>
      <c r="G23" t="inlineStr">
        <is>
          <t>ScriptError</t>
        </is>
      </c>
      <c r="H23" t="inlineStr">
        <is>
          <t>ScriptError in Project Overview</t>
        </is>
      </c>
      <c r="I23" t="inlineStr">
        <is>
          <t>1. Authenticate to CRMLeaf.
2. Execute Project Overview workflow sequence.</t>
        </is>
      </c>
      <c r="J23" t="inlineStr">
        <is>
          <t>Module Project Overview passes all UI invariants without blocking.</t>
        </is>
      </c>
      <c r="K23" t="inlineStr">
        <is>
          <t>Locator.click: Timeout 30000ms exceeded.</t>
        </is>
      </c>
      <c r="L23">
        <f>HYPERLINK("evidence_output\RUN_20260929_121429\Project_Overview.png", "Screenshot")</f>
        <v/>
      </c>
      <c r="M23">
        <f>HYPERLINK("evidence\RUN_20260929_121429\Project_Overview\video\page@6f4288d232102d262a73791f936e4c2c.webm", "Video")</f>
        <v/>
      </c>
      <c r="N23">
        <f>HYPERLINK("evidence_output\RUN_20260929_121429\Project_Overview_diagnostics.log", "Logs")</f>
        <v/>
      </c>
      <c r="O23" t="inlineStr">
        <is>
          <t>2026-09-29 12:18:02</t>
        </is>
      </c>
      <c r="P23" t="inlineStr">
        <is>
          <t>2026-09-29 12:18:02</t>
        </is>
      </c>
      <c r="Q23" t="n">
        <v>1</v>
      </c>
      <c r="R23" t="inlineStr">
        <is>
          <t>Draft</t>
        </is>
      </c>
    </row>
    <row r="24">
      <c r="A24" t="inlineStr">
        <is>
          <t>PSA-0023</t>
        </is>
      </c>
      <c r="B24" t="inlineStr">
        <is>
          <t>be60a847e3b712ca130729782f57e88b</t>
        </is>
      </c>
      <c r="C24" t="inlineStr">
        <is>
          <t>RUN_20260929_123019</t>
        </is>
      </c>
      <c r="D24" t="inlineStr">
        <is>
          <t>PSA</t>
        </is>
      </c>
      <c r="E24" t="inlineStr">
        <is>
          <t>Project Creation</t>
        </is>
      </c>
      <c r="F24" t="inlineStr">
        <is>
          <t>Critical</t>
        </is>
      </c>
      <c r="G24" t="inlineStr">
        <is>
          <t>ProductDefect</t>
        </is>
      </c>
      <c r="H24" t="inlineStr">
        <is>
          <t>ProductDefect in Project Creation</t>
        </is>
      </c>
      <c r="I24" t="inlineStr">
        <is>
          <t>1. Authenticate to CRMLeaf.
2. Execute Project Creation workflow sequence.</t>
        </is>
      </c>
      <c r="J24" t="inlineStr">
        <is>
          <t>Module Project Creation passes all UI invariants without blocking.</t>
        </is>
      </c>
      <c r="K24" t="inlineStr">
        <is>
          <t>name 'cite' is not defined</t>
        </is>
      </c>
      <c r="L24">
        <f>HYPERLINK("evidence_output\RUN_20260929_123019\Project_Creation.png", "Screenshot")</f>
        <v/>
      </c>
      <c r="M24">
        <f>HYPERLINK("evidence\RUN_20260929_123019\Project_Creation\video\page@568721f1955b9da7dba5c4b44438141b.webm", "Video")</f>
        <v/>
      </c>
      <c r="N24">
        <f>HYPERLINK("evidence_output\RUN_20260929_123019\Project_Creation_diagnostics.log", "Logs")</f>
        <v/>
      </c>
      <c r="O24" t="inlineStr">
        <is>
          <t>2026-09-29 12:32:32</t>
        </is>
      </c>
      <c r="P24" t="inlineStr">
        <is>
          <t>2026-09-29 12:36:21</t>
        </is>
      </c>
      <c r="Q24" t="n">
        <v>2</v>
      </c>
      <c r="R24" t="inlineStr">
        <is>
          <t>Reproduced</t>
        </is>
      </c>
    </row>
    <row r="25">
      <c r="A25" t="inlineStr">
        <is>
          <t>PSA-0024</t>
        </is>
      </c>
      <c r="B25" t="inlineStr">
        <is>
          <t>052e090c92469a2a7a6e1a1b5fe3e63a</t>
        </is>
      </c>
      <c r="C25" t="inlineStr">
        <is>
          <t>RUN_20260929_125113</t>
        </is>
      </c>
      <c r="D25" t="inlineStr">
        <is>
          <t>PSA</t>
        </is>
      </c>
      <c r="E25" t="inlineStr">
        <is>
          <t>Project Creation</t>
        </is>
      </c>
      <c r="F25" t="inlineStr">
        <is>
          <t>Critical</t>
        </is>
      </c>
      <c r="G25" t="inlineStr">
        <is>
          <t>ProductDefect</t>
        </is>
      </c>
      <c r="H25" t="inlineStr">
        <is>
          <t>ProductDefect in Project Creation</t>
        </is>
      </c>
      <c r="I25" t="inlineStr">
        <is>
          <t>1. Authenticate to CRMLeaf.
2. Execute Project Creation workflow sequence.</t>
        </is>
      </c>
      <c r="J25" t="inlineStr">
        <is>
          <t>Module Project Creation passes all UI invariants without blocking.</t>
        </is>
      </c>
      <c r="K25" t="inlineStr">
        <is>
          <t>Project save failed: Form did not close. Check for validation errors (e.g., missing mandatory fields).</t>
        </is>
      </c>
      <c r="L25">
        <f>HYPERLINK("evidence_output\RUN_20260929_125113\Project_Creation.png", "Screenshot")</f>
        <v/>
      </c>
      <c r="M25">
        <f>HYPERLINK("evidence\RUN_20260929_125113\Project_Creation\video\page@fba37c2616de55bf151c561aac15e5f3.webm", "Video")</f>
        <v/>
      </c>
      <c r="N25">
        <f>HYPERLINK("evidence_output\RUN_20260929_125113\Project_Creation_diagnostics.log", "Logs")</f>
        <v/>
      </c>
      <c r="O25" t="inlineStr">
        <is>
          <t>2026-09-29 12:53:49</t>
        </is>
      </c>
      <c r="P25" t="inlineStr">
        <is>
          <t>2026-09-29 12:53:49</t>
        </is>
      </c>
      <c r="Q25" t="n">
        <v>1</v>
      </c>
      <c r="R25" t="inlineStr">
        <is>
          <t>Draft</t>
        </is>
      </c>
    </row>
    <row r="26">
      <c r="A26" t="inlineStr">
        <is>
          <t>PSA-0025</t>
        </is>
      </c>
      <c r="B26" t="inlineStr">
        <is>
          <t>5bc3737ba29c1766da573763c0181d18</t>
        </is>
      </c>
      <c r="C26" t="inlineStr">
        <is>
          <t>RUN_20260929_125519</t>
        </is>
      </c>
      <c r="D26" t="inlineStr">
        <is>
          <t>PSA</t>
        </is>
      </c>
      <c r="E26" t="inlineStr">
        <is>
          <t>Project Creation</t>
        </is>
      </c>
      <c r="F26" t="inlineStr">
        <is>
          <t>Critical</t>
        </is>
      </c>
      <c r="G26" t="inlineStr">
        <is>
          <t>ProductDefect</t>
        </is>
      </c>
      <c r="H26" t="inlineStr">
        <is>
          <t>ProductDefect in Project Creation</t>
        </is>
      </c>
      <c r="I26" t="inlineStr">
        <is>
          <t>1. Authenticate to CRMLeaf.
2. Execute Project Creation workflow sequence.</t>
        </is>
      </c>
      <c r="J26" t="inlineStr">
        <is>
          <t>Module Project Creation passes all UI invariants without blocking.</t>
        </is>
      </c>
      <c r="K26" t="inlineStr">
        <is>
          <t>Page.goto: net::ERR_ABORTED at https://www.crmleaf.com/account/projects</t>
        </is>
      </c>
      <c r="L26">
        <f>HYPERLINK("evidence_output\RUN_20260929_125519\Project_Creation.png", "Screenshot")</f>
        <v/>
      </c>
      <c r="M26">
        <f>HYPERLINK("evidence\RUN_20260929_125519\Project_Creation\video\page@e83583dedea78ea41a96553263cf60cd.webm", "Video")</f>
        <v/>
      </c>
      <c r="N26">
        <f>HYPERLINK("evidence_output\RUN_20260929_125519\Project_Creation_diagnostics.log", "Logs")</f>
        <v/>
      </c>
      <c r="O26" t="inlineStr">
        <is>
          <t>2026-09-29 12:57:50</t>
        </is>
      </c>
      <c r="P26" t="inlineStr">
        <is>
          <t>2026-09-29 12:57:50</t>
        </is>
      </c>
      <c r="Q26" t="n">
        <v>1</v>
      </c>
      <c r="R26" t="inlineStr">
        <is>
          <t>Draft</t>
        </is>
      </c>
    </row>
    <row r="27">
      <c r="A27" t="inlineStr">
        <is>
          <t>PSA-0026</t>
        </is>
      </c>
      <c r="B27" t="inlineStr">
        <is>
          <t>73949667ecde0696de5d48b56bd85f12</t>
        </is>
      </c>
      <c r="C27" t="inlineStr">
        <is>
          <t>RUN_20260929_135345</t>
        </is>
      </c>
      <c r="D27" t="inlineStr">
        <is>
          <t>PSA</t>
        </is>
      </c>
      <c r="E27" t="inlineStr">
        <is>
          <t>Tasks</t>
        </is>
      </c>
      <c r="F27" t="inlineStr">
        <is>
          <t>Major</t>
        </is>
      </c>
      <c r="G27" t="inlineStr">
        <is>
          <t>ScriptError</t>
        </is>
      </c>
      <c r="H27" t="inlineStr">
        <is>
          <t>ScriptError in Tasks</t>
        </is>
      </c>
      <c r="I27" t="inlineStr">
        <is>
          <t>1. Authenticate to CRMLeaf.
2. Execute Tasks workflow sequence.</t>
        </is>
      </c>
      <c r="J27" t="inlineStr">
        <is>
          <t>Module Tasks passes all UI invariants without blocking.</t>
        </is>
      </c>
      <c r="K27" t="inlineStr">
        <is>
          <t>Locator.wait_for: Timeout 5000ms exceeded.</t>
        </is>
      </c>
      <c r="L27">
        <f>HYPERLINK("evidence_output\RUN_20260929_135345\Tasks.png", "Screenshot")</f>
        <v/>
      </c>
      <c r="M27">
        <f>HYPERLINK("evidence\RUN_20260929_135345\Tasks\video\page@179187cf92e8013cf87973d37b5dd774.webm", "Video")</f>
        <v/>
      </c>
      <c r="N27">
        <f>HYPERLINK("evidence_output\RUN_20260929_135345\Tasks_diagnostics.log", "Logs")</f>
        <v/>
      </c>
      <c r="O27" t="inlineStr">
        <is>
          <t>2026-09-29 13:57:08</t>
        </is>
      </c>
      <c r="P27" t="inlineStr">
        <is>
          <t>2026-09-29 13:57:08</t>
        </is>
      </c>
      <c r="Q27" t="n">
        <v>1</v>
      </c>
      <c r="R27" t="inlineStr">
        <is>
          <t>Draft</t>
        </is>
      </c>
    </row>
    <row r="28">
      <c r="A28" t="inlineStr">
        <is>
          <t>PSA-0027</t>
        </is>
      </c>
      <c r="B28" t="inlineStr">
        <is>
          <t>a03c6d0d32fb89cc5720dffd542b5fdd</t>
        </is>
      </c>
      <c r="C28" t="inlineStr">
        <is>
          <t>RUN_20260929_135345</t>
        </is>
      </c>
      <c r="D28" t="inlineStr">
        <is>
          <t>PSA</t>
        </is>
      </c>
      <c r="E28" t="inlineStr">
        <is>
          <t>Invoices</t>
        </is>
      </c>
      <c r="F28" t="inlineStr">
        <is>
          <t>Major</t>
        </is>
      </c>
      <c r="G28" t="inlineStr">
        <is>
          <t>ScriptError</t>
        </is>
      </c>
      <c r="H28" t="inlineStr">
        <is>
          <t>ScriptError in Invoices</t>
        </is>
      </c>
      <c r="I28" t="inlineStr">
        <is>
          <t>1. Authenticate to CRMLeaf.
2. Execute Invoices workflow sequence.</t>
        </is>
      </c>
      <c r="J28" t="inlineStr">
        <is>
          <t>Module Invoices passes all UI invariants without blocking.</t>
        </is>
      </c>
      <c r="K28" t="inlineStr">
        <is>
          <t>Locator.wait_for: Timeout 15000ms exceeded.</t>
        </is>
      </c>
      <c r="L28">
        <f>HYPERLINK("evidence_output\RUN_20260929_135345\Invoices.png", "Screenshot")</f>
        <v/>
      </c>
      <c r="M28">
        <f>HYPERLINK("evidence\RUN_20260929_135345\Invoices\video\page@7382fb7bb17ae4fd3c8b44e63a821405.webm", "Video")</f>
        <v/>
      </c>
      <c r="N28">
        <f>HYPERLINK("evidence_output\RUN_20260929_135345\Invoices_diagnostics.log", "Logs")</f>
        <v/>
      </c>
      <c r="O28" t="inlineStr">
        <is>
          <t>2026-09-29 13:57:50</t>
        </is>
      </c>
      <c r="P28" t="inlineStr">
        <is>
          <t>2026-09-29 14:23:39</t>
        </is>
      </c>
      <c r="Q28" t="n">
        <v>2</v>
      </c>
      <c r="R28" t="inlineStr">
        <is>
          <t>Reproduced</t>
        </is>
      </c>
    </row>
    <row r="29">
      <c r="A29" t="inlineStr">
        <is>
          <t>PSA-0028</t>
        </is>
      </c>
      <c r="B29" t="inlineStr">
        <is>
          <t>470b7955cc8718987336282b758e6640</t>
        </is>
      </c>
      <c r="C29" t="inlineStr">
        <is>
          <t>RUN_20260929_141907</t>
        </is>
      </c>
      <c r="D29" t="inlineStr">
        <is>
          <t>PSA</t>
        </is>
      </c>
      <c r="E29" t="inlineStr">
        <is>
          <t>Time Sheet</t>
        </is>
      </c>
      <c r="F29" t="inlineStr">
        <is>
          <t>Critical</t>
        </is>
      </c>
      <c r="G29" t="inlineStr">
        <is>
          <t>ProductDefect</t>
        </is>
      </c>
      <c r="H29" t="inlineStr">
        <is>
          <t>ProductDefect in Time Sheet</t>
        </is>
      </c>
      <c r="I29" t="inlineStr">
        <is>
          <t>1. Authenticate to CRMLeaf.
2. Execute Time Sheet workflow sequence.</t>
        </is>
      </c>
      <c r="J29" t="inlineStr">
        <is>
          <t>Module Time Sheet passes all UI invariants without blocking.</t>
        </is>
      </c>
      <c r="K29" t="inlineStr">
        <is>
          <t>Locator.is_visible: Unexpected token "=" while parsing css selector "table tbody tr, text='Automated Timesheet Verification'". Did you mean to CSS.escape it?</t>
        </is>
      </c>
      <c r="L29">
        <f>HYPERLINK("evidence_output\RUN_20260929_141907\Time_Sheet.png", "Screenshot")</f>
        <v/>
      </c>
      <c r="M29">
        <f>HYPERLINK("evidence\RUN_20260929_141907\Time_Sheet\video\page@18c2bad1478c2c7cd5f2519a384f3dcd.webm", "Video")</f>
        <v/>
      </c>
      <c r="N29">
        <f>HYPERLINK("evidence_output\RUN_20260929_141907\Time_Sheet_diagnostics.log", "Logs")</f>
        <v/>
      </c>
      <c r="O29" t="inlineStr">
        <is>
          <t>2026-09-29 14:22:51</t>
        </is>
      </c>
      <c r="P29" t="inlineStr">
        <is>
          <t>2026-09-29 14:54:37</t>
        </is>
      </c>
      <c r="Q29" t="n">
        <v>2</v>
      </c>
      <c r="R29" t="inlineStr">
        <is>
          <t>Reproduced</t>
        </is>
      </c>
    </row>
    <row r="30">
      <c r="A30" t="inlineStr">
        <is>
          <t>PSA-0029</t>
        </is>
      </c>
      <c r="B30" t="inlineStr">
        <is>
          <t>6103844c37da224cd99c31bf16d9113e</t>
        </is>
      </c>
      <c r="C30" t="inlineStr">
        <is>
          <t>RUN_20260929_142730</t>
        </is>
      </c>
      <c r="D30" t="inlineStr">
        <is>
          <t>PSA</t>
        </is>
      </c>
      <c r="E30" t="inlineStr">
        <is>
          <t>Lead Creation</t>
        </is>
      </c>
      <c r="F30" t="inlineStr">
        <is>
          <t>Critical</t>
        </is>
      </c>
      <c r="G30" t="inlineStr">
        <is>
          <t>ProductDefect</t>
        </is>
      </c>
      <c r="H30" t="inlineStr">
        <is>
          <t>ProductDefect in Lead Creation</t>
        </is>
      </c>
      <c r="I30" t="inlineStr">
        <is>
          <t>1. Authenticate to CRMLeaf.
2. Execute Lead Creation workflow sequence.</t>
        </is>
      </c>
      <c r="J30" t="inlineStr">
        <is>
          <t>Module Lead Creation passes all UI invariants without blocking.</t>
        </is>
      </c>
      <c r="K30" t="inlineStr">
        <is>
          <t>Lead creation failed validation: The Deal Name field is required.</t>
        </is>
      </c>
      <c r="L30">
        <f>HYPERLINK("evidence_output\RUN_20260929_142730\Lead_Creation.png", "Screenshot")</f>
        <v/>
      </c>
      <c r="M30">
        <f>HYPERLINK("evidence\RUN_20260929_142730\Lead_Creation\video\page@9fffcd6208d4786e2f2e9c2ceb85e6ae.webm", "Video")</f>
        <v/>
      </c>
      <c r="N30">
        <f>HYPERLINK("evidence_output\RUN_20260929_142730\Lead_Creation_diagnostics.log", "Logs")</f>
        <v/>
      </c>
      <c r="O30" t="inlineStr">
        <is>
          <t>2026-09-29 14:28:20</t>
        </is>
      </c>
      <c r="P30" t="inlineStr">
        <is>
          <t>2026-09-29 14:28:20</t>
        </is>
      </c>
      <c r="Q30" t="n">
        <v>1</v>
      </c>
      <c r="R30" t="inlineStr">
        <is>
          <t>Draft</t>
        </is>
      </c>
    </row>
    <row r="31">
      <c r="A31" t="inlineStr">
        <is>
          <t>PSA-0030</t>
        </is>
      </c>
      <c r="B31" t="inlineStr">
        <is>
          <t>4af7d1fe720c2c9d96471ec67a77c819</t>
        </is>
      </c>
      <c r="C31" t="inlineStr">
        <is>
          <t>RUN_20260929_142932</t>
        </is>
      </c>
      <c r="D31" t="inlineStr">
        <is>
          <t>PSA</t>
        </is>
      </c>
      <c r="E31" t="inlineStr">
        <is>
          <t>Lead Creation</t>
        </is>
      </c>
      <c r="F31" t="inlineStr">
        <is>
          <t>Critical</t>
        </is>
      </c>
      <c r="G31" t="inlineStr">
        <is>
          <t>ProductDefect</t>
        </is>
      </c>
      <c r="H31" t="inlineStr">
        <is>
          <t>ProductDefect in Lead Creation</t>
        </is>
      </c>
      <c r="I31" t="inlineStr">
        <is>
          <t>1. Authenticate to CRMLeaf.
2. Execute Lead Creation workflow sequence.</t>
        </is>
      </c>
      <c r="J31" t="inlineStr">
        <is>
          <t>Module Lead Creation passes all UI invariants without blocking.</t>
        </is>
      </c>
      <c r="K31" t="inlineStr">
        <is>
          <t>Lead creation failed validation: Please select a company from the dropdown.</t>
        </is>
      </c>
      <c r="L31">
        <f>HYPERLINK("evidence_output\RUN_20260929_142932\Lead_Creation.png", "Screenshot")</f>
        <v/>
      </c>
      <c r="M31">
        <f>HYPERLINK("evidence\RUN_20260929_142932\Lead_Creation\video\page@927b224cbf005582d6cedc91f50795f7.webm", "Video")</f>
        <v/>
      </c>
      <c r="N31">
        <f>HYPERLINK("evidence_output\RUN_20260929_142932\Lead_Creation_diagnostics.log", "Logs")</f>
        <v/>
      </c>
      <c r="O31" t="inlineStr">
        <is>
          <t>2026-09-29 14:30:21</t>
        </is>
      </c>
      <c r="P31" t="inlineStr">
        <is>
          <t>2026-09-29 16:00:33</t>
        </is>
      </c>
      <c r="Q31" t="n">
        <v>8</v>
      </c>
      <c r="R31" t="inlineStr">
        <is>
          <t>Reproduced</t>
        </is>
      </c>
    </row>
    <row r="32">
      <c r="A32" t="inlineStr">
        <is>
          <t>PSA-0031</t>
        </is>
      </c>
      <c r="B32" t="inlineStr">
        <is>
          <t>1853d489ec35c12e09ce72a6711b2492</t>
        </is>
      </c>
      <c r="C32" t="inlineStr">
        <is>
          <t>RUN_20260929_145038</t>
        </is>
      </c>
      <c r="D32" t="inlineStr">
        <is>
          <t>PSA</t>
        </is>
      </c>
      <c r="E32" t="inlineStr">
        <is>
          <t>Payment</t>
        </is>
      </c>
      <c r="F32" t="inlineStr">
        <is>
          <t>Major</t>
        </is>
      </c>
      <c r="G32" t="inlineStr">
        <is>
          <t>ScriptError</t>
        </is>
      </c>
      <c r="H32" t="inlineStr">
        <is>
          <t>ScriptError in Payment</t>
        </is>
      </c>
      <c r="I32" t="inlineStr">
        <is>
          <t>1. Authenticate to CRMLeaf.
2. Execute Payment workflow sequence.</t>
        </is>
      </c>
      <c r="J32" t="inlineStr">
        <is>
          <t>Module Payment passes all UI invariants without blocking.</t>
        </is>
      </c>
      <c r="K32" t="inlineStr">
        <is>
          <t>Locator.scroll_into_view_if_needed: Timeout 30000ms exceeded.</t>
        </is>
      </c>
      <c r="L32">
        <f>HYPERLINK("evidence_output\RUN_20260929_145038\Payment.png", "Screenshot")</f>
        <v/>
      </c>
      <c r="M32">
        <f>HYPERLINK("evidence\RUN_20260929_145038\Payment\video\page@4e7a3872b9ba6c5020e5bb96949305b3.webm", "Video")</f>
        <v/>
      </c>
      <c r="N32">
        <f>HYPERLINK("evidence_output\RUN_20260929_145038\Payment_diagnostics.log", "Logs")</f>
        <v/>
      </c>
      <c r="O32" t="inlineStr">
        <is>
          <t>2026-09-29 14:56:00</t>
        </is>
      </c>
      <c r="P32" t="inlineStr">
        <is>
          <t>2026-09-29 14:56:00</t>
        </is>
      </c>
      <c r="Q32" t="n">
        <v>1</v>
      </c>
      <c r="R32" t="inlineStr">
        <is>
          <t>Draft</t>
        </is>
      </c>
    </row>
    <row r="33">
      <c r="A33" t="inlineStr">
        <is>
          <t>PSA-0032</t>
        </is>
      </c>
      <c r="B33" t="inlineStr">
        <is>
          <t>014009dbf0b4b909661a8d9c5af1331b</t>
        </is>
      </c>
      <c r="C33" t="inlineStr">
        <is>
          <t>RUN_20260929_154413</t>
        </is>
      </c>
      <c r="D33" t="inlineStr">
        <is>
          <t>PSA</t>
        </is>
      </c>
      <c r="E33" t="inlineStr">
        <is>
          <t>Lead Creation</t>
        </is>
      </c>
      <c r="F33" t="inlineStr">
        <is>
          <t>Critical</t>
        </is>
      </c>
      <c r="G33" t="inlineStr">
        <is>
          <t>ProductDefect</t>
        </is>
      </c>
      <c r="H33" t="inlineStr">
        <is>
          <t>ProductDefect in Lead Creation</t>
        </is>
      </c>
      <c r="I33" t="inlineStr">
        <is>
          <t>1. Authenticate to CRMLeaf.
2. Execute Lead Creation workflow sequence.</t>
        </is>
      </c>
      <c r="J33" t="inlineStr">
        <is>
          <t>Module Lead Creation passes all UI invariants without blocking.</t>
        </is>
      </c>
      <c r="K33" t="inlineStr">
        <is>
          <t>Lead creation failed validation: Form did not submit</t>
        </is>
      </c>
      <c r="L33">
        <f>HYPERLINK("evidence_output\RUN_20260929_154413\Lead_Creation.png", "Screenshot")</f>
        <v/>
      </c>
      <c r="M33">
        <f>HYPERLINK("evidence\RUN_20260929_154413\Lead_Creation\video\page@783c5fd21a8200008dbbef30d099785c.webm", "Video")</f>
        <v/>
      </c>
      <c r="N33">
        <f>HYPERLINK("evidence_output\RUN_20260929_154413\Lead_Creation_diagnostics.log", "Logs")</f>
        <v/>
      </c>
      <c r="O33" t="inlineStr">
        <is>
          <t>2026-09-29 15:45:00</t>
        </is>
      </c>
      <c r="P33" t="inlineStr">
        <is>
          <t>2026-09-29 16:45:04</t>
        </is>
      </c>
      <c r="Q33" t="n">
        <v>2</v>
      </c>
      <c r="R33" t="inlineStr">
        <is>
          <t>Reproduced</t>
        </is>
      </c>
    </row>
    <row r="34">
      <c r="A34" t="inlineStr">
        <is>
          <t>PSA-0033</t>
        </is>
      </c>
      <c r="B34" t="inlineStr">
        <is>
          <t>7556e15c768d4d0c75ff0a6ccb1e4dfa</t>
        </is>
      </c>
      <c r="C34" t="inlineStr">
        <is>
          <t>RUN_20260929_160439</t>
        </is>
      </c>
      <c r="D34" t="inlineStr">
        <is>
          <t>PSA</t>
        </is>
      </c>
      <c r="E34" t="inlineStr">
        <is>
          <t>Proposal Acceptance</t>
        </is>
      </c>
      <c r="F34" t="inlineStr">
        <is>
          <t>Major</t>
        </is>
      </c>
      <c r="G34" t="inlineStr">
        <is>
          <t>ScriptError</t>
        </is>
      </c>
      <c r="H34" t="inlineStr">
        <is>
          <t>ScriptError in Proposal Acceptance</t>
        </is>
      </c>
      <c r="I34" t="inlineStr">
        <is>
          <t>1. Authenticate to CRMLeaf.
2. Execute Proposal Acceptance workflow sequence.</t>
        </is>
      </c>
      <c r="J34" t="inlineStr">
        <is>
          <t>Module Proposal Acceptance passes all UI invariants without blocking.</t>
        </is>
      </c>
      <c r="K34" t="inlineStr">
        <is>
          <t>Locator.click: Timeout 30000ms exceeded.</t>
        </is>
      </c>
      <c r="L34">
        <f>HYPERLINK("evidence_output\RUN_20260929_160439\Proposal_Acceptance.png", "Screenshot")</f>
        <v/>
      </c>
      <c r="M34">
        <f>HYPERLINK("evidence\RUN_20260929_160439\Proposal_Acceptance\video\page@e8f4c6080c9a047402339d8a2adfa572.webm", "Video")</f>
        <v/>
      </c>
      <c r="N34">
        <f>HYPERLINK("evidence_output\RUN_20260929_160439\Proposal_Acceptance_diagnostics.log", "Logs")</f>
        <v/>
      </c>
      <c r="O34" t="inlineStr">
        <is>
          <t>2026-09-29 16:06:41</t>
        </is>
      </c>
      <c r="P34" t="inlineStr">
        <is>
          <t>2026-09-29 16:11:47</t>
        </is>
      </c>
      <c r="Q34" t="n">
        <v>2</v>
      </c>
      <c r="R34" t="inlineStr">
        <is>
          <t>Reproduced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Timestamp</t>
        </is>
      </c>
      <c r="C1" s="1" t="inlineStr">
        <is>
          <t>Total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Status</t>
        </is>
      </c>
    </row>
    <row r="2">
      <c r="A2" t="inlineStr">
        <is>
          <t>RUN_20260928_165525</t>
        </is>
      </c>
      <c r="B2" t="inlineStr">
        <is>
          <t>2026-09-28 16:56:16</t>
        </is>
      </c>
      <c r="C2" t="n">
        <v>11</v>
      </c>
      <c r="D2" t="n">
        <v>0</v>
      </c>
      <c r="E2" t="n">
        <v>1</v>
      </c>
      <c r="F2" t="n">
        <v>10</v>
      </c>
      <c r="G2" t="inlineStr">
        <is>
          <t>FAILED</t>
        </is>
      </c>
    </row>
    <row r="3">
      <c r="A3" t="inlineStr">
        <is>
          <t>RUN_20260928_190449</t>
        </is>
      </c>
      <c r="B3" t="inlineStr">
        <is>
          <t>2026-09-28 19:09:33</t>
        </is>
      </c>
      <c r="C3" t="n">
        <v>11</v>
      </c>
      <c r="D3" t="n">
        <v>6</v>
      </c>
      <c r="E3" t="n">
        <v>1</v>
      </c>
      <c r="F3" t="n">
        <v>1</v>
      </c>
      <c r="G3" t="inlineStr">
        <is>
          <t>FAILED</t>
        </is>
      </c>
    </row>
    <row r="4">
      <c r="A4" t="inlineStr">
        <is>
          <t>RUN_20260928_191323</t>
        </is>
      </c>
      <c r="B4" t="inlineStr">
        <is>
          <t>2026-09-28 19:15:52</t>
        </is>
      </c>
      <c r="C4" t="n">
        <v>11</v>
      </c>
      <c r="D4" t="n">
        <v>7</v>
      </c>
      <c r="E4" t="n">
        <v>2</v>
      </c>
      <c r="F4" t="n">
        <v>2</v>
      </c>
      <c r="G4" t="inlineStr">
        <is>
          <t>FAILED</t>
        </is>
      </c>
    </row>
    <row r="5">
      <c r="A5" t="inlineStr">
        <is>
          <t>RUN_20260928_192134</t>
        </is>
      </c>
      <c r="B5" t="inlineStr">
        <is>
          <t>2026-09-28 19:23:53</t>
        </is>
      </c>
      <c r="C5" t="n">
        <v>11</v>
      </c>
      <c r="D5" t="n">
        <v>3</v>
      </c>
      <c r="E5" t="n">
        <v>2</v>
      </c>
      <c r="F5" t="n">
        <v>6</v>
      </c>
      <c r="G5" t="inlineStr">
        <is>
          <t>FAILED</t>
        </is>
      </c>
    </row>
    <row r="6">
      <c r="A6" t="inlineStr">
        <is>
          <t>RUN_20260928_192507</t>
        </is>
      </c>
      <c r="B6" t="inlineStr">
        <is>
          <t>2026-09-28 19:26:41</t>
        </is>
      </c>
      <c r="C6" t="n">
        <v>11</v>
      </c>
      <c r="D6" t="n">
        <v>3</v>
      </c>
      <c r="E6" t="n">
        <v>2</v>
      </c>
      <c r="F6" t="n">
        <v>6</v>
      </c>
      <c r="G6" t="inlineStr">
        <is>
          <t>FAILED</t>
        </is>
      </c>
    </row>
    <row r="7">
      <c r="A7" t="inlineStr">
        <is>
          <t>RUN_20260928_192912</t>
        </is>
      </c>
      <c r="B7" t="inlineStr">
        <is>
          <t>2026-09-28 19:29:50</t>
        </is>
      </c>
      <c r="C7" t="n">
        <v>11</v>
      </c>
      <c r="D7" t="n">
        <v>0</v>
      </c>
      <c r="E7" t="n">
        <v>2</v>
      </c>
      <c r="F7" t="n">
        <v>9</v>
      </c>
      <c r="G7" t="inlineStr">
        <is>
          <t>FAILED</t>
        </is>
      </c>
    </row>
    <row r="8">
      <c r="A8" t="inlineStr">
        <is>
          <t>RUN_20260929_103655</t>
        </is>
      </c>
      <c r="B8" t="inlineStr">
        <is>
          <t>2026-09-29 10:39:07</t>
        </is>
      </c>
      <c r="C8" t="n">
        <v>11</v>
      </c>
      <c r="D8" t="n">
        <v>3</v>
      </c>
      <c r="E8" t="n">
        <v>2</v>
      </c>
      <c r="F8" t="n">
        <v>6</v>
      </c>
      <c r="G8" t="inlineStr">
        <is>
          <t>FAILED</t>
        </is>
      </c>
    </row>
    <row r="9">
      <c r="A9" t="inlineStr">
        <is>
          <t>RUN_20260929_104059</t>
        </is>
      </c>
      <c r="B9" t="inlineStr">
        <is>
          <t>2026-09-29 10:42:05</t>
        </is>
      </c>
      <c r="C9" t="n">
        <v>11</v>
      </c>
      <c r="D9" t="n">
        <v>0</v>
      </c>
      <c r="E9" t="n">
        <v>2</v>
      </c>
      <c r="F9" t="n">
        <v>9</v>
      </c>
      <c r="G9" t="inlineStr">
        <is>
          <t>FAILED</t>
        </is>
      </c>
    </row>
    <row r="10">
      <c r="A10" t="inlineStr">
        <is>
          <t>RUN_20260929_105219</t>
        </is>
      </c>
      <c r="B10" t="inlineStr">
        <is>
          <t>2026-09-29 10:54:09</t>
        </is>
      </c>
      <c r="C10" t="n">
        <v>11</v>
      </c>
      <c r="D10" t="n">
        <v>3</v>
      </c>
      <c r="E10" t="n">
        <v>2</v>
      </c>
      <c r="F10" t="n">
        <v>6</v>
      </c>
      <c r="G10" t="inlineStr">
        <is>
          <t>FAILED</t>
        </is>
      </c>
    </row>
    <row r="11">
      <c r="A11" t="inlineStr">
        <is>
          <t>RUN_20260929_111603</t>
        </is>
      </c>
      <c r="B11" t="inlineStr">
        <is>
          <t>2026-09-29 11:18:50</t>
        </is>
      </c>
      <c r="C11" t="n">
        <v>11</v>
      </c>
      <c r="D11" t="n">
        <v>7</v>
      </c>
      <c r="E11" t="n">
        <v>1</v>
      </c>
      <c r="F11" t="n">
        <v>3</v>
      </c>
      <c r="G11" t="inlineStr">
        <is>
          <t>FAILED</t>
        </is>
      </c>
    </row>
    <row r="12">
      <c r="A12" t="inlineStr">
        <is>
          <t>RUN_20260929_112058</t>
        </is>
      </c>
      <c r="B12" t="inlineStr">
        <is>
          <t>2026-09-29 11:23:44</t>
        </is>
      </c>
      <c r="C12" t="n">
        <v>11</v>
      </c>
      <c r="D12" t="n">
        <v>8</v>
      </c>
      <c r="E12" t="n">
        <v>1</v>
      </c>
      <c r="F12" t="n">
        <v>2</v>
      </c>
      <c r="G12" t="inlineStr">
        <is>
          <t>FAILED</t>
        </is>
      </c>
    </row>
    <row r="13">
      <c r="A13" t="inlineStr">
        <is>
          <t>RUN_20260929_121007</t>
        </is>
      </c>
      <c r="B13" t="inlineStr">
        <is>
          <t>2026-09-29 12:12:58</t>
        </is>
      </c>
      <c r="C13" t="n">
        <v>11</v>
      </c>
      <c r="D13" t="n">
        <v>8</v>
      </c>
      <c r="E13" t="n">
        <v>1</v>
      </c>
      <c r="F13" t="n">
        <v>2</v>
      </c>
      <c r="G13" t="inlineStr">
        <is>
          <t>FAILED</t>
        </is>
      </c>
    </row>
    <row r="14">
      <c r="A14" t="inlineStr">
        <is>
          <t>RUN_20260929_121429</t>
        </is>
      </c>
      <c r="B14" t="inlineStr">
        <is>
          <t>2026-09-29 12:18:02</t>
        </is>
      </c>
      <c r="C14" t="n">
        <v>11</v>
      </c>
      <c r="D14" t="n">
        <v>8</v>
      </c>
      <c r="E14" t="n">
        <v>1</v>
      </c>
      <c r="F14" t="n">
        <v>2</v>
      </c>
      <c r="G14" t="inlineStr">
        <is>
          <t>FAILED</t>
        </is>
      </c>
    </row>
    <row r="15">
      <c r="A15" t="inlineStr">
        <is>
          <t>RUN_20260929_121938</t>
        </is>
      </c>
      <c r="B15" t="inlineStr">
        <is>
          <t>2026-09-29 12:22:39</t>
        </is>
      </c>
      <c r="C15" t="n">
        <v>11</v>
      </c>
      <c r="D15" t="n">
        <v>8</v>
      </c>
      <c r="E15" t="n">
        <v>1</v>
      </c>
      <c r="F15" t="n">
        <v>2</v>
      </c>
      <c r="G15" t="inlineStr">
        <is>
          <t>FAILED</t>
        </is>
      </c>
    </row>
    <row r="16">
      <c r="A16" t="inlineStr">
        <is>
          <t>RUN_20260929_123019</t>
        </is>
      </c>
      <c r="B16" t="inlineStr">
        <is>
          <t>2026-09-29 12:32:33</t>
        </is>
      </c>
      <c r="C16" t="n">
        <v>11</v>
      </c>
      <c r="D16" t="n">
        <v>7</v>
      </c>
      <c r="E16" t="n">
        <v>1</v>
      </c>
      <c r="F16" t="n">
        <v>3</v>
      </c>
      <c r="G16" t="inlineStr">
        <is>
          <t>FAILED</t>
        </is>
      </c>
    </row>
    <row r="17">
      <c r="A17" t="inlineStr">
        <is>
          <t>RUN_20260929_123345</t>
        </is>
      </c>
      <c r="B17" t="inlineStr">
        <is>
          <t>2026-09-29 12:36:21</t>
        </is>
      </c>
      <c r="C17" t="n">
        <v>11</v>
      </c>
      <c r="D17" t="n">
        <v>7</v>
      </c>
      <c r="E17" t="n">
        <v>1</v>
      </c>
      <c r="F17" t="n">
        <v>3</v>
      </c>
      <c r="G17" t="inlineStr">
        <is>
          <t>FAILED</t>
        </is>
      </c>
    </row>
    <row r="18">
      <c r="A18" t="inlineStr">
        <is>
          <t>RUN_20260929_123758</t>
        </is>
      </c>
      <c r="B18" t="inlineStr">
        <is>
          <t>2026-09-29 12:41:27</t>
        </is>
      </c>
      <c r="C18" t="n">
        <v>11</v>
      </c>
      <c r="D18" t="n">
        <v>8</v>
      </c>
      <c r="E18" t="n">
        <v>1</v>
      </c>
      <c r="F18" t="n">
        <v>2</v>
      </c>
      <c r="G18" t="inlineStr">
        <is>
          <t>FAILED</t>
        </is>
      </c>
    </row>
    <row r="19">
      <c r="A19" t="inlineStr">
        <is>
          <t>RUN_20260929_124631</t>
        </is>
      </c>
      <c r="B19" t="inlineStr">
        <is>
          <t>2026-09-29 12:49:47</t>
        </is>
      </c>
      <c r="C19" t="n">
        <v>11</v>
      </c>
      <c r="D19" t="n">
        <v>8</v>
      </c>
      <c r="E19" t="n">
        <v>1</v>
      </c>
      <c r="F19" t="n">
        <v>2</v>
      </c>
      <c r="G19" t="inlineStr">
        <is>
          <t>FAILED</t>
        </is>
      </c>
    </row>
    <row r="20">
      <c r="A20" t="inlineStr">
        <is>
          <t>RUN_20260929_125113</t>
        </is>
      </c>
      <c r="B20" t="inlineStr">
        <is>
          <t>2026-09-29 12:53:49</t>
        </is>
      </c>
      <c r="C20" t="n">
        <v>11</v>
      </c>
      <c r="D20" t="n">
        <v>7</v>
      </c>
      <c r="E20" t="n">
        <v>1</v>
      </c>
      <c r="F20" t="n">
        <v>3</v>
      </c>
      <c r="G20" t="inlineStr">
        <is>
          <t>FAILED</t>
        </is>
      </c>
    </row>
    <row r="21">
      <c r="A21" t="inlineStr">
        <is>
          <t>RUN_20260929_125519</t>
        </is>
      </c>
      <c r="B21" t="inlineStr">
        <is>
          <t>2026-09-29 12:57:50</t>
        </is>
      </c>
      <c r="C21" t="n">
        <v>11</v>
      </c>
      <c r="D21" t="n">
        <v>7</v>
      </c>
      <c r="E21" t="n">
        <v>1</v>
      </c>
      <c r="F21" t="n">
        <v>3</v>
      </c>
      <c r="G21" t="inlineStr">
        <is>
          <t>FAILED</t>
        </is>
      </c>
    </row>
    <row r="22">
      <c r="A22" t="inlineStr">
        <is>
          <t>RUN_20260929_125936</t>
        </is>
      </c>
      <c r="B22" t="inlineStr">
        <is>
          <t>2026-09-29 13:03:06</t>
        </is>
      </c>
      <c r="C22" t="n">
        <v>11</v>
      </c>
      <c r="D22" t="n">
        <v>11</v>
      </c>
      <c r="E22" t="n">
        <v>0</v>
      </c>
      <c r="F22" t="n">
        <v>0</v>
      </c>
      <c r="G22" t="inlineStr">
        <is>
          <t>PASSED</t>
        </is>
      </c>
    </row>
    <row r="23">
      <c r="A23" t="inlineStr">
        <is>
          <t>RUN_20260929_135345</t>
        </is>
      </c>
      <c r="B23" t="inlineStr">
        <is>
          <t>2026-09-29 13:57:50</t>
        </is>
      </c>
      <c r="C23" t="n">
        <v>17</v>
      </c>
      <c r="D23" t="n">
        <v>11</v>
      </c>
      <c r="E23" t="n">
        <v>2</v>
      </c>
      <c r="F23" t="n">
        <v>4</v>
      </c>
      <c r="G23" t="inlineStr">
        <is>
          <t>FAILED</t>
        </is>
      </c>
    </row>
    <row r="24">
      <c r="A24" t="inlineStr">
        <is>
          <t>RUN_20260929_135953</t>
        </is>
      </c>
      <c r="B24" t="inlineStr">
        <is>
          <t>2026-09-29 14:02:44</t>
        </is>
      </c>
      <c r="C24" t="n">
        <v>17</v>
      </c>
      <c r="D24" t="n">
        <v>7</v>
      </c>
      <c r="E24" t="n">
        <v>1</v>
      </c>
      <c r="F24" t="n">
        <v>9</v>
      </c>
      <c r="G24" t="inlineStr">
        <is>
          <t>FAILED</t>
        </is>
      </c>
    </row>
    <row r="25">
      <c r="A25" t="inlineStr">
        <is>
          <t>RUN_20260929_140514</t>
        </is>
      </c>
      <c r="B25" t="inlineStr">
        <is>
          <t>2026-09-29 14:08:13</t>
        </is>
      </c>
      <c r="C25" t="n">
        <v>17</v>
      </c>
      <c r="D25" t="n">
        <v>8</v>
      </c>
      <c r="E25" t="n">
        <v>1</v>
      </c>
      <c r="F25" t="n">
        <v>8</v>
      </c>
      <c r="G25" t="inlineStr">
        <is>
          <t>FAILED</t>
        </is>
      </c>
    </row>
    <row r="26">
      <c r="A26" t="inlineStr">
        <is>
          <t>RUN_20260929_141423</t>
        </is>
      </c>
      <c r="B26" t="inlineStr">
        <is>
          <t>2026-09-29 14:17:25</t>
        </is>
      </c>
      <c r="C26" t="n">
        <v>17</v>
      </c>
      <c r="D26" t="n">
        <v>8</v>
      </c>
      <c r="E26" t="n">
        <v>1</v>
      </c>
      <c r="F26" t="n">
        <v>8</v>
      </c>
      <c r="G26" t="inlineStr">
        <is>
          <t>FAILED</t>
        </is>
      </c>
    </row>
    <row r="27">
      <c r="A27" t="inlineStr">
        <is>
          <t>RUN_20260929_141907</t>
        </is>
      </c>
      <c r="B27" t="inlineStr">
        <is>
          <t>2026-09-29 14:23:40</t>
        </is>
      </c>
      <c r="C27" t="n">
        <v>17</v>
      </c>
      <c r="D27" t="n">
        <v>14</v>
      </c>
      <c r="E27" t="n">
        <v>2</v>
      </c>
      <c r="F27" t="n">
        <v>1</v>
      </c>
      <c r="G27" t="inlineStr">
        <is>
          <t>FAILED</t>
        </is>
      </c>
    </row>
    <row r="28">
      <c r="A28" t="inlineStr">
        <is>
          <t>RUN_20260929_142730</t>
        </is>
      </c>
      <c r="B28" t="inlineStr">
        <is>
          <t>2026-09-29 14:28:20</t>
        </is>
      </c>
      <c r="C28" t="n">
        <v>17</v>
      </c>
      <c r="D28" t="n">
        <v>0</v>
      </c>
      <c r="E28" t="n">
        <v>1</v>
      </c>
      <c r="F28" t="n">
        <v>16</v>
      </c>
      <c r="G28" t="inlineStr">
        <is>
          <t>FAILED</t>
        </is>
      </c>
    </row>
    <row r="29">
      <c r="A29" t="inlineStr">
        <is>
          <t>RUN_20260929_142932</t>
        </is>
      </c>
      <c r="B29" t="inlineStr">
        <is>
          <t>2026-09-29 14:30:22</t>
        </is>
      </c>
      <c r="C29" t="n">
        <v>17</v>
      </c>
      <c r="D29" t="n">
        <v>0</v>
      </c>
      <c r="E29" t="n">
        <v>1</v>
      </c>
      <c r="F29" t="n">
        <v>16</v>
      </c>
      <c r="G29" t="inlineStr">
        <is>
          <t>FAILED</t>
        </is>
      </c>
    </row>
    <row r="30">
      <c r="A30" t="inlineStr">
        <is>
          <t>RUN_20260929_143132</t>
        </is>
      </c>
      <c r="B30" t="inlineStr">
        <is>
          <t>2026-09-29 14:32:11</t>
        </is>
      </c>
      <c r="C30" t="n">
        <v>17</v>
      </c>
      <c r="D30" t="n">
        <v>0</v>
      </c>
      <c r="E30" t="n">
        <v>1</v>
      </c>
      <c r="F30" t="n">
        <v>16</v>
      </c>
      <c r="G30" t="inlineStr">
        <is>
          <t>FAILED</t>
        </is>
      </c>
    </row>
    <row r="31">
      <c r="A31" t="inlineStr">
        <is>
          <t>RUN_20260929_143506</t>
        </is>
      </c>
      <c r="B31" t="inlineStr">
        <is>
          <t>2026-09-29 14:35:51</t>
        </is>
      </c>
      <c r="C31" t="n">
        <v>17</v>
      </c>
      <c r="D31" t="n">
        <v>0</v>
      </c>
      <c r="E31" t="n">
        <v>1</v>
      </c>
      <c r="F31" t="n">
        <v>16</v>
      </c>
      <c r="G31" t="inlineStr">
        <is>
          <t>FAILED</t>
        </is>
      </c>
    </row>
    <row r="32">
      <c r="A32" t="inlineStr">
        <is>
          <t>RUN_20260929_144446</t>
        </is>
      </c>
      <c r="B32" t="inlineStr">
        <is>
          <t>2026-09-29 14:45:35</t>
        </is>
      </c>
      <c r="C32" t="n">
        <v>17</v>
      </c>
      <c r="D32" t="n">
        <v>0</v>
      </c>
      <c r="E32" t="n">
        <v>1</v>
      </c>
      <c r="F32" t="n">
        <v>16</v>
      </c>
      <c r="G32" t="inlineStr">
        <is>
          <t>FAILED</t>
        </is>
      </c>
    </row>
    <row r="33">
      <c r="A33" t="inlineStr">
        <is>
          <t>RUN_20260929_145038</t>
        </is>
      </c>
      <c r="B33" t="inlineStr">
        <is>
          <t>2026-09-29 14:56:00</t>
        </is>
      </c>
      <c r="C33" t="n">
        <v>17</v>
      </c>
      <c r="D33" t="n">
        <v>15</v>
      </c>
      <c r="E33" t="n">
        <v>2</v>
      </c>
      <c r="F33" t="n">
        <v>0</v>
      </c>
      <c r="G33" t="inlineStr">
        <is>
          <t>FAILED</t>
        </is>
      </c>
    </row>
    <row r="34">
      <c r="A34" t="inlineStr">
        <is>
          <t>RUN_20260929_151316</t>
        </is>
      </c>
      <c r="B34" t="inlineStr">
        <is>
          <t>2026-09-29 15:18:31</t>
        </is>
      </c>
      <c r="C34" t="n">
        <v>17</v>
      </c>
      <c r="D34" t="n">
        <v>17</v>
      </c>
      <c r="E34" t="n">
        <v>0</v>
      </c>
      <c r="F34" t="n">
        <v>0</v>
      </c>
      <c r="G34" t="inlineStr">
        <is>
          <t>PASSED</t>
        </is>
      </c>
    </row>
    <row r="35">
      <c r="A35" t="inlineStr">
        <is>
          <t>RUN_20260929_154413</t>
        </is>
      </c>
      <c r="B35" t="inlineStr">
        <is>
          <t>2026-09-29 15:45:00</t>
        </is>
      </c>
      <c r="C35" t="n">
        <v>17</v>
      </c>
      <c r="D35" t="n">
        <v>0</v>
      </c>
      <c r="E35" t="n">
        <v>1</v>
      </c>
      <c r="F35" t="n">
        <v>16</v>
      </c>
      <c r="G35" t="inlineStr">
        <is>
          <t>FAILED</t>
        </is>
      </c>
    </row>
    <row r="36">
      <c r="A36" t="inlineStr">
        <is>
          <t>RUN_20260929_154746</t>
        </is>
      </c>
      <c r="B36" t="inlineStr">
        <is>
          <t>2026-09-29 15:48:31</t>
        </is>
      </c>
      <c r="C36" t="n">
        <v>17</v>
      </c>
      <c r="D36" t="n">
        <v>0</v>
      </c>
      <c r="E36" t="n">
        <v>1</v>
      </c>
      <c r="F36" t="n">
        <v>16</v>
      </c>
      <c r="G36" t="inlineStr">
        <is>
          <t>FAILED</t>
        </is>
      </c>
    </row>
    <row r="37">
      <c r="A37" t="inlineStr">
        <is>
          <t>RUN_20260929_155551</t>
        </is>
      </c>
      <c r="B37" t="inlineStr">
        <is>
          <t>2026-09-29 15:56:52</t>
        </is>
      </c>
      <c r="C37" t="n">
        <v>17</v>
      </c>
      <c r="D37" t="n">
        <v>0</v>
      </c>
      <c r="E37" t="n">
        <v>1</v>
      </c>
      <c r="F37" t="n">
        <v>16</v>
      </c>
      <c r="G37" t="inlineStr">
        <is>
          <t>FAILED</t>
        </is>
      </c>
    </row>
    <row r="38">
      <c r="A38" t="inlineStr">
        <is>
          <t>RUN_20260929_155738</t>
        </is>
      </c>
      <c r="B38" t="inlineStr">
        <is>
          <t>2026-09-29 15:58:31</t>
        </is>
      </c>
      <c r="C38" t="n">
        <v>17</v>
      </c>
      <c r="D38" t="n">
        <v>0</v>
      </c>
      <c r="E38" t="n">
        <v>1</v>
      </c>
      <c r="F38" t="n">
        <v>16</v>
      </c>
      <c r="G38" t="inlineStr">
        <is>
          <t>FAILED</t>
        </is>
      </c>
    </row>
    <row r="39">
      <c r="A39" t="inlineStr">
        <is>
          <t>RUN_20260929_155947</t>
        </is>
      </c>
      <c r="B39" t="inlineStr">
        <is>
          <t>2026-09-29 16:00:34</t>
        </is>
      </c>
      <c r="C39" t="n">
        <v>17</v>
      </c>
      <c r="D39" t="n">
        <v>0</v>
      </c>
      <c r="E39" t="n">
        <v>1</v>
      </c>
      <c r="F39" t="n">
        <v>16</v>
      </c>
      <c r="G39" t="inlineStr">
        <is>
          <t>FAILED</t>
        </is>
      </c>
    </row>
    <row r="40">
      <c r="A40" t="inlineStr">
        <is>
          <t>RUN_20260929_160439</t>
        </is>
      </c>
      <c r="B40" t="inlineStr">
        <is>
          <t>2026-09-29 16:08:08</t>
        </is>
      </c>
      <c r="C40" t="n">
        <v>17</v>
      </c>
      <c r="D40" t="n">
        <v>6</v>
      </c>
      <c r="E40" t="n">
        <v>2</v>
      </c>
      <c r="F40" t="n">
        <v>9</v>
      </c>
      <c r="G40" t="inlineStr">
        <is>
          <t>FAILED</t>
        </is>
      </c>
    </row>
    <row r="41">
      <c r="A41" t="inlineStr">
        <is>
          <t>RUN_20260929_160947</t>
        </is>
      </c>
      <c r="B41" t="inlineStr">
        <is>
          <t>2026-09-29 16:13:10</t>
        </is>
      </c>
      <c r="C41" t="n">
        <v>17</v>
      </c>
      <c r="D41" t="n">
        <v>6</v>
      </c>
      <c r="E41" t="n">
        <v>2</v>
      </c>
      <c r="F41" t="n">
        <v>9</v>
      </c>
      <c r="G41" t="inlineStr">
        <is>
          <t>FAILED</t>
        </is>
      </c>
    </row>
    <row r="42">
      <c r="A42" t="inlineStr">
        <is>
          <t>RUN_20260929_162619</t>
        </is>
      </c>
      <c r="B42" t="inlineStr">
        <is>
          <t>2026-09-29 16:31:32</t>
        </is>
      </c>
      <c r="C42" t="n">
        <v>17</v>
      </c>
      <c r="D42" t="n">
        <v>17</v>
      </c>
      <c r="E42" t="n">
        <v>0</v>
      </c>
      <c r="F42" t="n">
        <v>0</v>
      </c>
      <c r="G42" t="inlineStr">
        <is>
          <t>PASSED</t>
        </is>
      </c>
    </row>
    <row r="43">
      <c r="A43" t="inlineStr">
        <is>
          <t>RUN_20260929_164416</t>
        </is>
      </c>
      <c r="B43" t="inlineStr">
        <is>
          <t>2026-09-29 16:45:04</t>
        </is>
      </c>
      <c r="C43" t="n">
        <v>18</v>
      </c>
      <c r="D43" t="n">
        <v>0</v>
      </c>
      <c r="E43" t="n">
        <v>1</v>
      </c>
      <c r="F43" t="n">
        <v>17</v>
      </c>
      <c r="G43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Fingerprint</t>
        </is>
      </c>
      <c r="B1" s="1" t="inlineStr">
        <is>
          <t>Reason</t>
        </is>
      </c>
      <c r="C1" s="1" t="inlineStr">
        <is>
          <t>Added 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2026-09-28T11:25:25Z</dcterms:created>
  <dcterms:modified xsi:type="dcterms:W3CDTF">2026-09-29T11:15:04Z</dcterms:modified>
</cp:coreProperties>
</file>